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MyTemp\Allochthonous\Unclassifed\Lake+Species\"/>
    </mc:Choice>
  </mc:AlternateContent>
  <xr:revisionPtr revIDLastSave="0" documentId="13_ncr:1_{6B91F054-967A-4D55-9A83-8E1FEC35C124}" xr6:coauthVersionLast="47" xr6:coauthVersionMax="47" xr10:uidLastSave="{00000000-0000-0000-0000-000000000000}"/>
  <bookViews>
    <workbookView xWindow="45972" yWindow="-108" windowWidth="23256" windowHeight="12456" xr2:uid="{00000000-000D-0000-FFFF-FFFF00000000}"/>
  </bookViews>
  <sheets>
    <sheet name="Lake+Spec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F2" i="1"/>
  <c r="AD2" i="1"/>
  <c r="AE2" i="1"/>
  <c r="AE4" i="1"/>
  <c r="X15" i="1"/>
  <c r="R30" i="1"/>
  <c r="R15" i="1"/>
  <c r="Q30" i="1"/>
  <c r="P30" i="1"/>
  <c r="P15" i="1"/>
  <c r="I2" i="1"/>
  <c r="J2" i="1"/>
  <c r="H2" i="1"/>
  <c r="Y15" i="1"/>
  <c r="W15" i="1"/>
  <c r="Q15" i="1"/>
  <c r="AE4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J1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CW40" i="1"/>
  <c r="CX38" i="1"/>
  <c r="CW38" i="1"/>
  <c r="CX37" i="1"/>
  <c r="CW37" i="1"/>
  <c r="EG3" i="1"/>
  <c r="EG6" i="1"/>
  <c r="EG7" i="1"/>
  <c r="EG8" i="1"/>
  <c r="EG10" i="1"/>
  <c r="EG11" i="1"/>
  <c r="EG23" i="1"/>
  <c r="EG29" i="1"/>
  <c r="EG33" i="1"/>
  <c r="EG34" i="1"/>
  <c r="EG39" i="1"/>
  <c r="EG41" i="1"/>
  <c r="EF3" i="1"/>
  <c r="EF6" i="1"/>
  <c r="EF7" i="1"/>
  <c r="EF8" i="1"/>
  <c r="EF10" i="1"/>
  <c r="EF11" i="1"/>
  <c r="EF23" i="1"/>
  <c r="EF29" i="1"/>
  <c r="EF33" i="1"/>
  <c r="EF34" i="1"/>
  <c r="EF39" i="1"/>
  <c r="EF41" i="1"/>
  <c r="EG2" i="1"/>
  <c r="EF2" i="1"/>
  <c r="DY24" i="1"/>
  <c r="DZ24" i="1"/>
  <c r="DZ20" i="1"/>
  <c r="DY20" i="1"/>
  <c r="DS5" i="1"/>
  <c r="DS6" i="1"/>
  <c r="DS7" i="1"/>
  <c r="DS8" i="1"/>
  <c r="DS11" i="1"/>
  <c r="DS14" i="1"/>
  <c r="DS16" i="1"/>
  <c r="DS23" i="1"/>
  <c r="DS27" i="1"/>
  <c r="DS28" i="1"/>
  <c r="DS29" i="1"/>
  <c r="DS31" i="1"/>
  <c r="DS32" i="1"/>
  <c r="DS34" i="1"/>
  <c r="DS35" i="1"/>
  <c r="DS39" i="1"/>
  <c r="DS41" i="1"/>
  <c r="DS42" i="1"/>
  <c r="DS43" i="1"/>
  <c r="DR5" i="1"/>
  <c r="DR6" i="1"/>
  <c r="DR7" i="1"/>
  <c r="DR8" i="1"/>
  <c r="DR11" i="1"/>
  <c r="DR14" i="1"/>
  <c r="DR16" i="1"/>
  <c r="DR23" i="1"/>
  <c r="DR27" i="1"/>
  <c r="DR28" i="1"/>
  <c r="DR29" i="1"/>
  <c r="DR31" i="1"/>
  <c r="DR32" i="1"/>
  <c r="DR34" i="1"/>
  <c r="DR35" i="1"/>
  <c r="DR39" i="1"/>
  <c r="DR41" i="1"/>
  <c r="DR42" i="1"/>
  <c r="DR43" i="1"/>
  <c r="DS4" i="1"/>
  <c r="DR4" i="1"/>
  <c r="DL3" i="1"/>
  <c r="DL4" i="1"/>
  <c r="DL5" i="1"/>
  <c r="DL6" i="1"/>
  <c r="DL7" i="1"/>
  <c r="DL8" i="1"/>
  <c r="DL9" i="1"/>
  <c r="DL10" i="1"/>
  <c r="DL11" i="1"/>
  <c r="DL12" i="1"/>
  <c r="DL13" i="1"/>
  <c r="DL14" i="1"/>
  <c r="DL16" i="1"/>
  <c r="DL17" i="1"/>
  <c r="DL21" i="1"/>
  <c r="DL22" i="1"/>
  <c r="DL23" i="1"/>
  <c r="DL25" i="1"/>
  <c r="DL27" i="1"/>
  <c r="DL28" i="1"/>
  <c r="DL29" i="1"/>
  <c r="DL30" i="1"/>
  <c r="DL31" i="1"/>
  <c r="DL32" i="1"/>
  <c r="DL33" i="1"/>
  <c r="DL34" i="1"/>
  <c r="DL35" i="1"/>
  <c r="DL36" i="1"/>
  <c r="DL39" i="1"/>
  <c r="DL40" i="1"/>
  <c r="DL41" i="1"/>
  <c r="DL42" i="1"/>
  <c r="DL43" i="1"/>
  <c r="DK3" i="1"/>
  <c r="DK4" i="1"/>
  <c r="DK5" i="1"/>
  <c r="DK6" i="1"/>
  <c r="DK7" i="1"/>
  <c r="DK8" i="1"/>
  <c r="DK9" i="1"/>
  <c r="DK10" i="1"/>
  <c r="DK11" i="1"/>
  <c r="DK12" i="1"/>
  <c r="DK13" i="1"/>
  <c r="DK14" i="1"/>
  <c r="DK16" i="1"/>
  <c r="DK17" i="1"/>
  <c r="DK21" i="1"/>
  <c r="DK22" i="1"/>
  <c r="DK23" i="1"/>
  <c r="DK25" i="1"/>
  <c r="DK27" i="1"/>
  <c r="DK28" i="1"/>
  <c r="DK29" i="1"/>
  <c r="DK30" i="1"/>
  <c r="DK31" i="1"/>
  <c r="DK32" i="1"/>
  <c r="DK33" i="1"/>
  <c r="DK34" i="1"/>
  <c r="DK35" i="1"/>
  <c r="DK36" i="1"/>
  <c r="DK39" i="1"/>
  <c r="DK40" i="1"/>
  <c r="DK41" i="1"/>
  <c r="DK42" i="1"/>
  <c r="DK43" i="1"/>
  <c r="DL2" i="1"/>
  <c r="DK2" i="1"/>
  <c r="DE3" i="1"/>
  <c r="DE4" i="1"/>
  <c r="DE5" i="1"/>
  <c r="DE6" i="1"/>
  <c r="DE7" i="1"/>
  <c r="DE8" i="1"/>
  <c r="DE9" i="1"/>
  <c r="DE11" i="1"/>
  <c r="DE12" i="1"/>
  <c r="DE13" i="1"/>
  <c r="DE14" i="1"/>
  <c r="DE16" i="1"/>
  <c r="DE17" i="1"/>
  <c r="DE18" i="1"/>
  <c r="DE21" i="1"/>
  <c r="DE22" i="1"/>
  <c r="DE23" i="1"/>
  <c r="DE25" i="1"/>
  <c r="DE27" i="1"/>
  <c r="DE28" i="1"/>
  <c r="DE29" i="1"/>
  <c r="DE31" i="1"/>
  <c r="DE32" i="1"/>
  <c r="DE34" i="1"/>
  <c r="DE35" i="1"/>
  <c r="DE36" i="1"/>
  <c r="DE39" i="1"/>
  <c r="DE40" i="1"/>
  <c r="DE41" i="1"/>
  <c r="DE42" i="1"/>
  <c r="DE43" i="1"/>
  <c r="DD3" i="1"/>
  <c r="DD4" i="1"/>
  <c r="DD5" i="1"/>
  <c r="DD6" i="1"/>
  <c r="DD7" i="1"/>
  <c r="DD8" i="1"/>
  <c r="DD9" i="1"/>
  <c r="DD11" i="1"/>
  <c r="DD12" i="1"/>
  <c r="DD13" i="1"/>
  <c r="DD14" i="1"/>
  <c r="DD16" i="1"/>
  <c r="DD17" i="1"/>
  <c r="DD18" i="1"/>
  <c r="DD21" i="1"/>
  <c r="DD22" i="1"/>
  <c r="DD23" i="1"/>
  <c r="DD25" i="1"/>
  <c r="DD27" i="1"/>
  <c r="DD28" i="1"/>
  <c r="DD29" i="1"/>
  <c r="DD31" i="1"/>
  <c r="DD32" i="1"/>
  <c r="DD34" i="1"/>
  <c r="DD35" i="1"/>
  <c r="DD36" i="1"/>
  <c r="DD39" i="1"/>
  <c r="DD40" i="1"/>
  <c r="DD41" i="1"/>
  <c r="DD42" i="1"/>
  <c r="DD43" i="1"/>
  <c r="DE2" i="1"/>
  <c r="DD2" i="1"/>
  <c r="CX4" i="1"/>
  <c r="CX6" i="1"/>
  <c r="CX7" i="1"/>
  <c r="CX8" i="1"/>
  <c r="CX9" i="1"/>
  <c r="CX10" i="1"/>
  <c r="CX11" i="1"/>
  <c r="CX12" i="1"/>
  <c r="CX14" i="1"/>
  <c r="CX15" i="1"/>
  <c r="CX16" i="1"/>
  <c r="CX17" i="1"/>
  <c r="CX18" i="1"/>
  <c r="CX19" i="1"/>
  <c r="CX20" i="1"/>
  <c r="CX21" i="1"/>
  <c r="CX22" i="1"/>
  <c r="CX24" i="1"/>
  <c r="CX25" i="1"/>
  <c r="CX27" i="1"/>
  <c r="CX28" i="1"/>
  <c r="CX29" i="1"/>
  <c r="CX30" i="1"/>
  <c r="CX31" i="1"/>
  <c r="CX32" i="1"/>
  <c r="CX33" i="1"/>
  <c r="CX40" i="1"/>
  <c r="CX41" i="1"/>
  <c r="CX42" i="1"/>
  <c r="CX43" i="1"/>
  <c r="CW4" i="1"/>
  <c r="CW6" i="1"/>
  <c r="CW7" i="1"/>
  <c r="CW8" i="1"/>
  <c r="CW9" i="1"/>
  <c r="CW10" i="1"/>
  <c r="CW11" i="1"/>
  <c r="CW12" i="1"/>
  <c r="CW14" i="1"/>
  <c r="CW15" i="1"/>
  <c r="CW16" i="1"/>
  <c r="CW17" i="1"/>
  <c r="CW18" i="1"/>
  <c r="CW19" i="1"/>
  <c r="CW20" i="1"/>
  <c r="CW21" i="1"/>
  <c r="CW22" i="1"/>
  <c r="CW24" i="1"/>
  <c r="CW25" i="1"/>
  <c r="CW27" i="1"/>
  <c r="CW28" i="1"/>
  <c r="CW29" i="1"/>
  <c r="CW30" i="1"/>
  <c r="CW31" i="1"/>
  <c r="CW32" i="1"/>
  <c r="CW33" i="1"/>
  <c r="CW41" i="1"/>
  <c r="CW42" i="1"/>
  <c r="CW43" i="1"/>
  <c r="CX3" i="1"/>
  <c r="CW3" i="1"/>
  <c r="CQ3" i="1"/>
  <c r="CQ4" i="1"/>
  <c r="CQ5" i="1"/>
  <c r="CQ6" i="1"/>
  <c r="CQ7" i="1"/>
  <c r="CQ8" i="1"/>
  <c r="CQ9" i="1"/>
  <c r="CQ10" i="1"/>
  <c r="CQ11" i="1"/>
  <c r="CQ13" i="1"/>
  <c r="CQ14" i="1"/>
  <c r="CQ16" i="1"/>
  <c r="CQ17" i="1"/>
  <c r="CQ18" i="1"/>
  <c r="CQ19" i="1"/>
  <c r="CQ20" i="1"/>
  <c r="CQ21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8" i="1"/>
  <c r="CQ39" i="1"/>
  <c r="CQ40" i="1"/>
  <c r="CQ41" i="1"/>
  <c r="CQ42" i="1"/>
  <c r="CQ43" i="1"/>
  <c r="CP3" i="1"/>
  <c r="CP4" i="1"/>
  <c r="CP5" i="1"/>
  <c r="CP6" i="1"/>
  <c r="CP7" i="1"/>
  <c r="CP8" i="1"/>
  <c r="CP9" i="1"/>
  <c r="CP10" i="1"/>
  <c r="CP11" i="1"/>
  <c r="CP13" i="1"/>
  <c r="CP14" i="1"/>
  <c r="CP16" i="1"/>
  <c r="CP17" i="1"/>
  <c r="CP18" i="1"/>
  <c r="CP19" i="1"/>
  <c r="CP20" i="1"/>
  <c r="CP21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8" i="1"/>
  <c r="CP39" i="1"/>
  <c r="CP40" i="1"/>
  <c r="CP41" i="1"/>
  <c r="CP42" i="1"/>
  <c r="CP43" i="1"/>
  <c r="CQ2" i="1"/>
  <c r="CP2" i="1"/>
  <c r="CJ3" i="1"/>
  <c r="CJ4" i="1"/>
  <c r="CJ5" i="1"/>
  <c r="CJ6" i="1"/>
  <c r="CJ7" i="1"/>
  <c r="CJ8" i="1"/>
  <c r="CJ9" i="1"/>
  <c r="CJ10" i="1"/>
  <c r="CJ11" i="1"/>
  <c r="CJ12" i="1"/>
  <c r="CJ13" i="1"/>
  <c r="CJ14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I3" i="1"/>
  <c r="CI4" i="1"/>
  <c r="CI5" i="1"/>
  <c r="CI6" i="1"/>
  <c r="CI7" i="1"/>
  <c r="CI8" i="1"/>
  <c r="CI9" i="1"/>
  <c r="CI10" i="1"/>
  <c r="CI11" i="1"/>
  <c r="CI12" i="1"/>
  <c r="CI13" i="1"/>
  <c r="CI14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J2" i="1"/>
  <c r="CI2" i="1"/>
  <c r="CC22" i="1"/>
  <c r="CC24" i="1"/>
  <c r="CC30" i="1"/>
  <c r="CC38" i="1"/>
  <c r="CB22" i="1"/>
  <c r="CB24" i="1"/>
  <c r="CB30" i="1"/>
  <c r="CB38" i="1"/>
  <c r="CC15" i="1"/>
  <c r="CB15" i="1"/>
  <c r="BV15" i="1"/>
  <c r="BV20" i="1"/>
  <c r="BV22" i="1"/>
  <c r="BV24" i="1"/>
  <c r="BV29" i="1"/>
  <c r="BV30" i="1"/>
  <c r="BV33" i="1"/>
  <c r="BV38" i="1"/>
  <c r="BU15" i="1"/>
  <c r="BU20" i="1"/>
  <c r="BU22" i="1"/>
  <c r="BU24" i="1"/>
  <c r="BU29" i="1"/>
  <c r="BU30" i="1"/>
  <c r="BU33" i="1"/>
  <c r="BU38" i="1"/>
  <c r="BV10" i="1"/>
  <c r="BU10" i="1"/>
  <c r="BO24" i="1"/>
  <c r="BN24" i="1"/>
  <c r="BO20" i="1"/>
  <c r="BN20" i="1"/>
  <c r="BG22" i="1"/>
  <c r="BH22" i="1"/>
  <c r="BH24" i="1"/>
  <c r="BH30" i="1"/>
  <c r="BH38" i="1"/>
  <c r="BG24" i="1"/>
  <c r="BG30" i="1"/>
  <c r="BG38" i="1"/>
  <c r="BH15" i="1"/>
  <c r="BG15" i="1"/>
  <c r="BA24" i="1"/>
  <c r="BA30" i="1"/>
  <c r="BA38" i="1"/>
  <c r="AZ24" i="1"/>
  <c r="AZ30" i="1"/>
  <c r="AZ38" i="1"/>
  <c r="BA20" i="1"/>
  <c r="AZ20" i="1"/>
  <c r="AT15" i="1"/>
  <c r="AT20" i="1"/>
  <c r="AT22" i="1"/>
  <c r="AT24" i="1"/>
  <c r="AT30" i="1"/>
  <c r="AT38" i="1"/>
  <c r="AS15" i="1"/>
  <c r="AS20" i="1"/>
  <c r="AS22" i="1"/>
  <c r="AS24" i="1"/>
  <c r="AS30" i="1"/>
  <c r="AS38" i="1"/>
  <c r="AS10" i="1"/>
  <c r="AT10" i="1"/>
  <c r="AM20" i="1"/>
  <c r="AM24" i="1"/>
  <c r="AM30" i="1"/>
  <c r="AM38" i="1"/>
  <c r="AL20" i="1"/>
  <c r="AL24" i="1"/>
  <c r="AL30" i="1"/>
  <c r="AL38" i="1"/>
  <c r="AM15" i="1"/>
  <c r="AL15" i="1"/>
  <c r="AF3" i="1"/>
  <c r="AF4" i="1"/>
  <c r="AF5" i="1"/>
  <c r="AF6" i="1"/>
  <c r="AF7" i="1"/>
  <c r="AF8" i="1"/>
  <c r="AF11" i="1"/>
  <c r="AF12" i="1"/>
  <c r="AF16" i="1"/>
  <c r="AF21" i="1"/>
  <c r="AF25" i="1"/>
  <c r="AF27" i="1"/>
  <c r="AF28" i="1"/>
  <c r="AF29" i="1"/>
  <c r="AF31" i="1"/>
  <c r="AF32" i="1"/>
  <c r="AF34" i="1"/>
  <c r="AF35" i="1"/>
  <c r="AF36" i="1"/>
  <c r="AF39" i="1"/>
  <c r="AF41" i="1"/>
  <c r="AF42" i="1"/>
  <c r="AF43" i="1"/>
  <c r="AE5" i="1"/>
  <c r="AE6" i="1"/>
  <c r="AE7" i="1"/>
  <c r="AE8" i="1"/>
  <c r="AE11" i="1"/>
  <c r="AE12" i="1"/>
  <c r="AE16" i="1"/>
  <c r="AE21" i="1"/>
  <c r="AE25" i="1"/>
  <c r="AE27" i="1"/>
  <c r="AE28" i="1"/>
  <c r="AE29" i="1"/>
  <c r="AE31" i="1"/>
  <c r="AE32" i="1"/>
  <c r="AE34" i="1"/>
  <c r="AE35" i="1"/>
  <c r="AE36" i="1"/>
  <c r="AE39" i="1"/>
  <c r="AE42" i="1"/>
  <c r="AE43" i="1"/>
  <c r="DQ43" i="1"/>
  <c r="DJ43" i="1"/>
  <c r="DC43" i="1"/>
  <c r="CV43" i="1"/>
  <c r="CO43" i="1"/>
  <c r="CH43" i="1"/>
  <c r="AD43" i="1"/>
  <c r="DQ42" i="1"/>
  <c r="DJ42" i="1"/>
  <c r="DC42" i="1"/>
  <c r="CV42" i="1"/>
  <c r="CO42" i="1"/>
  <c r="CH42" i="1"/>
  <c r="AD42" i="1"/>
  <c r="EE41" i="1"/>
  <c r="DQ41" i="1"/>
  <c r="DJ41" i="1"/>
  <c r="DC41" i="1"/>
  <c r="CV41" i="1"/>
  <c r="CO41" i="1"/>
  <c r="CH41" i="1"/>
  <c r="AD41" i="1"/>
  <c r="DJ40" i="1"/>
  <c r="DC40" i="1"/>
  <c r="CV40" i="1"/>
  <c r="CO40" i="1"/>
  <c r="CH40" i="1"/>
  <c r="EE39" i="1"/>
  <c r="DQ39" i="1"/>
  <c r="DJ39" i="1"/>
  <c r="DC39" i="1"/>
  <c r="CO39" i="1"/>
  <c r="CH39" i="1"/>
  <c r="AD39" i="1"/>
  <c r="CV38" i="1"/>
  <c r="CO38" i="1"/>
  <c r="CH38" i="1"/>
  <c r="CA38" i="1"/>
  <c r="BT38" i="1"/>
  <c r="BF38" i="1"/>
  <c r="AY38" i="1"/>
  <c r="AR38" i="1"/>
  <c r="AK38" i="1"/>
  <c r="CV37" i="1"/>
  <c r="CH37" i="1"/>
  <c r="DJ36" i="1"/>
  <c r="DC36" i="1"/>
  <c r="CO36" i="1"/>
  <c r="CH36" i="1"/>
  <c r="AD36" i="1"/>
  <c r="DQ35" i="1"/>
  <c r="DJ35" i="1"/>
  <c r="DC35" i="1"/>
  <c r="CO35" i="1"/>
  <c r="CH35" i="1"/>
  <c r="AD35" i="1"/>
  <c r="EE34" i="1"/>
  <c r="DQ34" i="1"/>
  <c r="DJ34" i="1"/>
  <c r="DC34" i="1"/>
  <c r="CO34" i="1"/>
  <c r="CH34" i="1"/>
  <c r="AD34" i="1"/>
  <c r="EE33" i="1"/>
  <c r="DJ33" i="1"/>
  <c r="CV33" i="1"/>
  <c r="CO33" i="1"/>
  <c r="CH33" i="1"/>
  <c r="BT33" i="1"/>
  <c r="DQ32" i="1"/>
  <c r="DJ32" i="1"/>
  <c r="DC32" i="1"/>
  <c r="CV32" i="1"/>
  <c r="CO32" i="1"/>
  <c r="CH32" i="1"/>
  <c r="AD32" i="1"/>
  <c r="DQ31" i="1"/>
  <c r="DJ31" i="1"/>
  <c r="DC31" i="1"/>
  <c r="CV31" i="1"/>
  <c r="CO31" i="1"/>
  <c r="CH31" i="1"/>
  <c r="AD31" i="1"/>
  <c r="DJ30" i="1"/>
  <c r="CV30" i="1"/>
  <c r="CO30" i="1"/>
  <c r="CA30" i="1"/>
  <c r="BT30" i="1"/>
  <c r="BF30" i="1"/>
  <c r="AY30" i="1"/>
  <c r="AR30" i="1"/>
  <c r="AK30" i="1"/>
  <c r="EE29" i="1"/>
  <c r="DQ29" i="1"/>
  <c r="DJ29" i="1"/>
  <c r="DC29" i="1"/>
  <c r="CV29" i="1"/>
  <c r="CO29" i="1"/>
  <c r="CH29" i="1"/>
  <c r="BT29" i="1"/>
  <c r="AD29" i="1"/>
  <c r="DQ28" i="1"/>
  <c r="DJ28" i="1"/>
  <c r="DC28" i="1"/>
  <c r="CV28" i="1"/>
  <c r="CO28" i="1"/>
  <c r="CH28" i="1"/>
  <c r="AD28" i="1"/>
  <c r="DQ27" i="1"/>
  <c r="DJ27" i="1"/>
  <c r="DC27" i="1"/>
  <c r="CV27" i="1"/>
  <c r="CO27" i="1"/>
  <c r="CH27" i="1"/>
  <c r="AD27" i="1"/>
  <c r="CO26" i="1"/>
  <c r="CH26" i="1"/>
  <c r="DJ25" i="1"/>
  <c r="DC25" i="1"/>
  <c r="CV25" i="1"/>
  <c r="CO25" i="1"/>
  <c r="CH25" i="1"/>
  <c r="AD25" i="1"/>
  <c r="DX24" i="1"/>
  <c r="CV24" i="1"/>
  <c r="CO24" i="1"/>
  <c r="CH24" i="1"/>
  <c r="CA24" i="1"/>
  <c r="BT24" i="1"/>
  <c r="BM24" i="1"/>
  <c r="BF24" i="1"/>
  <c r="AY24" i="1"/>
  <c r="AR24" i="1"/>
  <c r="AK24" i="1"/>
  <c r="EE23" i="1"/>
  <c r="DQ23" i="1"/>
  <c r="DJ23" i="1"/>
  <c r="DC23" i="1"/>
  <c r="CO23" i="1"/>
  <c r="CH23" i="1"/>
  <c r="DJ22" i="1"/>
  <c r="DC22" i="1"/>
  <c r="CV22" i="1"/>
  <c r="CH22" i="1"/>
  <c r="CA22" i="1"/>
  <c r="BT22" i="1"/>
  <c r="BF22" i="1"/>
  <c r="AR22" i="1"/>
  <c r="DJ21" i="1"/>
  <c r="DC21" i="1"/>
  <c r="CV21" i="1"/>
  <c r="CO21" i="1"/>
  <c r="CH21" i="1"/>
  <c r="AD21" i="1"/>
  <c r="DX20" i="1"/>
  <c r="CV20" i="1"/>
  <c r="CO20" i="1"/>
  <c r="CH20" i="1"/>
  <c r="BT20" i="1"/>
  <c r="BM20" i="1"/>
  <c r="AY20" i="1"/>
  <c r="AR20" i="1"/>
  <c r="AK20" i="1"/>
  <c r="CV19" i="1"/>
  <c r="CO19" i="1"/>
  <c r="CH19" i="1"/>
  <c r="DC18" i="1"/>
  <c r="CV18" i="1"/>
  <c r="CO18" i="1"/>
  <c r="CH18" i="1"/>
  <c r="DJ17" i="1"/>
  <c r="DC17" i="1"/>
  <c r="CV17" i="1"/>
  <c r="CO17" i="1"/>
  <c r="CH17" i="1"/>
  <c r="DQ16" i="1"/>
  <c r="DJ16" i="1"/>
  <c r="DC16" i="1"/>
  <c r="CV16" i="1"/>
  <c r="CO16" i="1"/>
  <c r="CH16" i="1"/>
  <c r="AD16" i="1"/>
  <c r="CV15" i="1"/>
  <c r="CA15" i="1"/>
  <c r="BT15" i="1"/>
  <c r="BF15" i="1"/>
  <c r="AR15" i="1"/>
  <c r="AK15" i="1"/>
  <c r="DQ14" i="1"/>
  <c r="DJ14" i="1"/>
  <c r="DC14" i="1"/>
  <c r="CV14" i="1"/>
  <c r="CO14" i="1"/>
  <c r="CH14" i="1"/>
  <c r="DJ13" i="1"/>
  <c r="DC13" i="1"/>
  <c r="CO13" i="1"/>
  <c r="CH13" i="1"/>
  <c r="DJ12" i="1"/>
  <c r="DC12" i="1"/>
  <c r="CV12" i="1"/>
  <c r="CH12" i="1"/>
  <c r="AD12" i="1"/>
  <c r="EE11" i="1"/>
  <c r="DQ11" i="1"/>
  <c r="DJ11" i="1"/>
  <c r="DC11" i="1"/>
  <c r="CV11" i="1"/>
  <c r="CO11" i="1"/>
  <c r="CH11" i="1"/>
  <c r="AD11" i="1"/>
  <c r="EE10" i="1"/>
  <c r="DJ10" i="1"/>
  <c r="CV10" i="1"/>
  <c r="CO10" i="1"/>
  <c r="CH10" i="1"/>
  <c r="BT10" i="1"/>
  <c r="AR10" i="1"/>
  <c r="DJ9" i="1"/>
  <c r="DC9" i="1"/>
  <c r="CV9" i="1"/>
  <c r="CO9" i="1"/>
  <c r="CH9" i="1"/>
  <c r="EE8" i="1"/>
  <c r="DQ8" i="1"/>
  <c r="DJ8" i="1"/>
  <c r="DC8" i="1"/>
  <c r="CV8" i="1"/>
  <c r="CO8" i="1"/>
  <c r="CH8" i="1"/>
  <c r="AD8" i="1"/>
  <c r="EE7" i="1"/>
  <c r="DQ7" i="1"/>
  <c r="DJ7" i="1"/>
  <c r="DC7" i="1"/>
  <c r="CV7" i="1"/>
  <c r="CO7" i="1"/>
  <c r="CH7" i="1"/>
  <c r="AD7" i="1"/>
  <c r="EE6" i="1"/>
  <c r="DQ6" i="1"/>
  <c r="DJ6" i="1"/>
  <c r="DC6" i="1"/>
  <c r="CV6" i="1"/>
  <c r="CO6" i="1"/>
  <c r="CH6" i="1"/>
  <c r="AD6" i="1"/>
  <c r="DQ5" i="1"/>
  <c r="DJ5" i="1"/>
  <c r="DC5" i="1"/>
  <c r="CO5" i="1"/>
  <c r="CH5" i="1"/>
  <c r="AD5" i="1"/>
  <c r="DQ4" i="1"/>
  <c r="DJ4" i="1"/>
  <c r="DC4" i="1"/>
  <c r="CV4" i="1"/>
  <c r="CO4" i="1"/>
  <c r="CH4" i="1"/>
  <c r="AD4" i="1"/>
  <c r="EE3" i="1"/>
  <c r="DJ3" i="1"/>
  <c r="DC3" i="1"/>
  <c r="CV3" i="1"/>
  <c r="CO3" i="1"/>
  <c r="CH3" i="1"/>
  <c r="AD3" i="1"/>
  <c r="EE2" i="1"/>
  <c r="DJ2" i="1"/>
  <c r="DC2" i="1"/>
  <c r="CO2" i="1"/>
  <c r="CH2" i="1"/>
</calcChain>
</file>

<file path=xl/sharedStrings.xml><?xml version="1.0" encoding="utf-8"?>
<sst xmlns="http://schemas.openxmlformats.org/spreadsheetml/2006/main" count="180" uniqueCount="180">
  <si>
    <t>Lake</t>
    <phoneticPr fontId="2" type="noConversion"/>
  </si>
  <si>
    <t>PC1</t>
    <phoneticPr fontId="1" type="noConversion"/>
  </si>
  <si>
    <t>Alajarvi</t>
  </si>
  <si>
    <t>Alanne</t>
  </si>
  <si>
    <t>Arkusjarvi</t>
    <phoneticPr fontId="1" type="noConversion"/>
  </si>
  <si>
    <t>Erajarvi</t>
    <phoneticPr fontId="1" type="noConversion"/>
  </si>
  <si>
    <t>Haapajarvi</t>
  </si>
  <si>
    <t>Hameenjarvi</t>
  </si>
  <si>
    <t>Hiidenvesi</t>
  </si>
  <si>
    <t>Hirvijarvi</t>
    <phoneticPr fontId="1" type="noConversion"/>
  </si>
  <si>
    <t>Jerisjarvi</t>
    <phoneticPr fontId="2" type="noConversion"/>
  </si>
  <si>
    <t>Joroisselka</t>
    <phoneticPr fontId="1" type="noConversion"/>
  </si>
  <si>
    <t>Jyvasjarvi</t>
    <phoneticPr fontId="2" type="noConversion"/>
  </si>
  <si>
    <t>Kakkisenjarvi</t>
  </si>
  <si>
    <t>Kakskerranjarvi</t>
  </si>
  <si>
    <t>Kilpisjarvi</t>
  </si>
  <si>
    <t>Koylionjarvi</t>
  </si>
  <si>
    <t>Kuhajarvi</t>
  </si>
  <si>
    <t>Kuontijarvi</t>
    <phoneticPr fontId="2" type="noConversion"/>
  </si>
  <si>
    <t>Majajarvi</t>
  </si>
  <si>
    <t>Mutusjarvi</t>
  </si>
  <si>
    <t>Niemisjarvi</t>
  </si>
  <si>
    <t>Oikojarvi</t>
  </si>
  <si>
    <t>Paajarvi</t>
  </si>
  <si>
    <t>Paatari</t>
    <phoneticPr fontId="1" type="noConversion"/>
  </si>
  <si>
    <t>Pankajarvi</t>
  </si>
  <si>
    <t>Pesosjarvi</t>
    <phoneticPr fontId="2" type="noConversion"/>
  </si>
  <si>
    <t>Pusulanjarvi</t>
  </si>
  <si>
    <t>Pyhajarvi</t>
  </si>
  <si>
    <t>Rattosjarvi</t>
  </si>
  <si>
    <t>Ropijarvi</t>
  </si>
  <si>
    <t>Ruokojarvi</t>
    <phoneticPr fontId="1" type="noConversion"/>
  </si>
  <si>
    <t>Saaskjarvi</t>
    <phoneticPr fontId="2" type="noConversion"/>
  </si>
  <si>
    <t>Sarkijarvi</t>
    <phoneticPr fontId="2" type="noConversion"/>
  </si>
  <si>
    <t>Suuri-Jukajarvi</t>
    <phoneticPr fontId="1" type="noConversion"/>
  </si>
  <si>
    <t>Suuri-Vahvanen</t>
    <phoneticPr fontId="1" type="noConversion"/>
  </si>
  <si>
    <t>Tottijarvi</t>
  </si>
  <si>
    <t>Valkea-Kotinen</t>
    <phoneticPr fontId="2" type="noConversion"/>
  </si>
  <si>
    <t>Vastusjarvi</t>
  </si>
  <si>
    <t>Vesijarvi</t>
    <phoneticPr fontId="1" type="noConversion"/>
  </si>
  <si>
    <t>Viipperonjarvi</t>
  </si>
  <si>
    <t>Viitaanjarvi</t>
  </si>
  <si>
    <t>Villikkalanjarvi</t>
  </si>
  <si>
    <t xml:space="preserve">                                                                                                                                      </t>
    <phoneticPr fontId="2" type="noConversion"/>
  </si>
  <si>
    <t>Bleak_CPUE</t>
  </si>
  <si>
    <t>Browntrout_CPUE</t>
  </si>
  <si>
    <t>Burbot_CPUE</t>
  </si>
  <si>
    <t>DRwhitefish_CPUE</t>
  </si>
  <si>
    <t>Grayling_CPUE</t>
  </si>
  <si>
    <t>LDRwhitefish_CPUE</t>
  </si>
  <si>
    <t>LSRwhitefish_CPUE</t>
  </si>
  <si>
    <t>Minnow_CPUE</t>
  </si>
  <si>
    <t>Perch_predatory_CPUE</t>
  </si>
  <si>
    <t>Pike_CPUE</t>
  </si>
  <si>
    <t>Roach_CPUE</t>
  </si>
  <si>
    <t>Ruffe_CPUE</t>
  </si>
  <si>
    <t>Smelt_CPUE</t>
  </si>
  <si>
    <t>SSRwhitefish_CPUE</t>
  </si>
  <si>
    <t>Vendace_CPUE</t>
  </si>
  <si>
    <t>Arcticcharr_CPUE</t>
    <phoneticPr fontId="1" type="noConversion"/>
  </si>
  <si>
    <t>Alpinebullhead_CPUE</t>
    <phoneticPr fontId="1" type="noConversion"/>
  </si>
  <si>
    <t>Global_0.5Allo</t>
    <phoneticPr fontId="1" type="noConversion"/>
  </si>
  <si>
    <t>Global_0.025Allo</t>
    <phoneticPr fontId="1" type="noConversion"/>
  </si>
  <si>
    <t>Global_0.975Allo</t>
    <phoneticPr fontId="1" type="noConversion"/>
  </si>
  <si>
    <t>Relative_total_0.5Bio*Allo</t>
    <phoneticPr fontId="2" type="noConversion"/>
  </si>
  <si>
    <t>Alpinebullhead_0.5Allo</t>
    <phoneticPr fontId="1" type="noConversion"/>
  </si>
  <si>
    <t>Alpinebullhead_0.025Allo</t>
    <phoneticPr fontId="1" type="noConversion"/>
  </si>
  <si>
    <t>Alpinebullhead_0.975Allo</t>
    <phoneticPr fontId="1" type="noConversion"/>
  </si>
  <si>
    <t>Relative_total_0.975Bio*Allo</t>
    <phoneticPr fontId="2" type="noConversion"/>
  </si>
  <si>
    <t>Alpinebullhead_0.975Bio*Allo</t>
    <phoneticPr fontId="2" type="noConversion"/>
  </si>
  <si>
    <t>Alpinebullhead_0.025Bio*Allo</t>
    <phoneticPr fontId="2" type="noConversion"/>
  </si>
  <si>
    <t>Arcticcharr_0.5Allo</t>
    <phoneticPr fontId="1" type="noConversion"/>
  </si>
  <si>
    <t>Arcticcharr_0.025Allo</t>
    <phoneticPr fontId="1" type="noConversion"/>
  </si>
  <si>
    <t>Smelt_0.5Allo</t>
  </si>
  <si>
    <t>SSRwhitefish_0.5Allo</t>
  </si>
  <si>
    <t>Vendace_0.5Allo</t>
  </si>
  <si>
    <t>Bleak_0.5Bio*Allo</t>
  </si>
  <si>
    <t>Browntrout_0.5Bio*Allo</t>
  </si>
  <si>
    <t>Burbot_0.5Bio*Allo</t>
  </si>
  <si>
    <t>DRwhitefish_0.5Bio*Allo</t>
  </si>
  <si>
    <t>Grayling_0.5Bio*Allo</t>
  </si>
  <si>
    <t>LDRwhitefish_0.5Bio*Allo</t>
  </si>
  <si>
    <t>LSRwhitefish_0.5Bio*Allo</t>
  </si>
  <si>
    <t>Minnow_0.5Bio*Allo</t>
  </si>
  <si>
    <t>Perch_0.5Bio*Allo</t>
  </si>
  <si>
    <t>Perch_predatory_0.5Bio*Allo</t>
  </si>
  <si>
    <t>Pike_0.5Bio*Allo</t>
  </si>
  <si>
    <t>Roach_0.5Bio*Allo</t>
  </si>
  <si>
    <t>Ruffe_0.5Bio*Allo</t>
  </si>
  <si>
    <t>Smelt_0.5Bio*Allo</t>
  </si>
  <si>
    <t>SSRwhitefish_0.5Bio*Allo</t>
  </si>
  <si>
    <t>Vendace_0.5Bio*Allo</t>
  </si>
  <si>
    <t>Arcticcharr_0.975Allo</t>
    <phoneticPr fontId="1" type="noConversion"/>
  </si>
  <si>
    <t>Bleak_0.025Allo</t>
    <phoneticPr fontId="1" type="noConversion"/>
  </si>
  <si>
    <t>Bleak_0.975Allo</t>
    <phoneticPr fontId="1" type="noConversion"/>
  </si>
  <si>
    <t>Bleak_0.025Bio*Allo</t>
    <phoneticPr fontId="1" type="noConversion"/>
  </si>
  <si>
    <t>Bleak_0.975Bio*Allo</t>
    <phoneticPr fontId="1" type="noConversion"/>
  </si>
  <si>
    <t>Browntrout_0.025Allo</t>
    <phoneticPr fontId="1" type="noConversion"/>
  </si>
  <si>
    <t>Browntrout_0.975Allo</t>
    <phoneticPr fontId="1" type="noConversion"/>
  </si>
  <si>
    <t>Browntrout_0.025Bio*Allo</t>
    <phoneticPr fontId="1" type="noConversion"/>
  </si>
  <si>
    <t>Browntrout_0.975Bio*Allo</t>
    <phoneticPr fontId="1" type="noConversion"/>
  </si>
  <si>
    <t>Burbot_0.025Allo</t>
    <phoneticPr fontId="1" type="noConversion"/>
  </si>
  <si>
    <t>Burbot_0.975Allo</t>
    <phoneticPr fontId="1" type="noConversion"/>
  </si>
  <si>
    <t>Burbot_0.025Bio*Allo</t>
    <phoneticPr fontId="1" type="noConversion"/>
  </si>
  <si>
    <t>Burbot_0.975Bio*Allo</t>
    <phoneticPr fontId="1" type="noConversion"/>
  </si>
  <si>
    <t>DRwhitefish_0.5Allo</t>
    <phoneticPr fontId="1" type="noConversion"/>
  </si>
  <si>
    <t>DRwhitefish_0.025Allo</t>
    <phoneticPr fontId="1" type="noConversion"/>
  </si>
  <si>
    <t>DRwhitefish_0.975Allo</t>
    <phoneticPr fontId="1" type="noConversion"/>
  </si>
  <si>
    <t>DRwhitefish_0.025Bio*Allo</t>
    <phoneticPr fontId="1" type="noConversion"/>
  </si>
  <si>
    <t>DRwhitefish_0.975Bio*Allo</t>
    <phoneticPr fontId="1" type="noConversion"/>
  </si>
  <si>
    <t>Grayling_0.025Allo</t>
    <phoneticPr fontId="1" type="noConversion"/>
  </si>
  <si>
    <t>Grayling_0.975Allo</t>
    <phoneticPr fontId="1" type="noConversion"/>
  </si>
  <si>
    <t>Grayling_0.025Bio*Allo</t>
    <phoneticPr fontId="1" type="noConversion"/>
  </si>
  <si>
    <t>Grayling_0.975Bio*Allo</t>
    <phoneticPr fontId="1" type="noConversion"/>
  </si>
  <si>
    <t>LDRwhitefish_0.025Allo</t>
    <phoneticPr fontId="1" type="noConversion"/>
  </si>
  <si>
    <t>LDRwhitefish_0.975Allo</t>
    <phoneticPr fontId="1" type="noConversion"/>
  </si>
  <si>
    <t>LDRwhitefish_0.025Bio*Allo</t>
    <phoneticPr fontId="1" type="noConversion"/>
  </si>
  <si>
    <t>LDRwhitefish_0.975Bio*Allo</t>
    <phoneticPr fontId="1" type="noConversion"/>
  </si>
  <si>
    <t>LSRwhitefish_0.025Allo</t>
    <phoneticPr fontId="1" type="noConversion"/>
  </si>
  <si>
    <t>LSRwhitefish_0.975Allo</t>
    <phoneticPr fontId="1" type="noConversion"/>
  </si>
  <si>
    <t>LSRwhitefish_0.025Bio*Allo</t>
    <phoneticPr fontId="1" type="noConversion"/>
  </si>
  <si>
    <t>LSRwhitefish_0.975Bio*Allo</t>
    <phoneticPr fontId="1" type="noConversion"/>
  </si>
  <si>
    <t>Minnow_0.025Allo</t>
    <phoneticPr fontId="1" type="noConversion"/>
  </si>
  <si>
    <t>Minnow_0.975Allo</t>
    <phoneticPr fontId="1" type="noConversion"/>
  </si>
  <si>
    <t>Minnow_0.025Bio*Allo</t>
    <phoneticPr fontId="1" type="noConversion"/>
  </si>
  <si>
    <t>Minnow_0.975Bio*Allo</t>
    <phoneticPr fontId="1" type="noConversion"/>
  </si>
  <si>
    <t>Perch_CPUE</t>
    <phoneticPr fontId="1" type="noConversion"/>
  </si>
  <si>
    <t>Perch_0.025Allo</t>
    <phoneticPr fontId="1" type="noConversion"/>
  </si>
  <si>
    <t>Perch_0.975Allo</t>
    <phoneticPr fontId="1" type="noConversion"/>
  </si>
  <si>
    <t>Perch_0.025Bio*Allo</t>
    <phoneticPr fontId="1" type="noConversion"/>
  </si>
  <si>
    <t>Perch_0.975Bio*Allo</t>
    <phoneticPr fontId="1" type="noConversion"/>
  </si>
  <si>
    <t>Perch_predatory_0.025Allo</t>
    <phoneticPr fontId="1" type="noConversion"/>
  </si>
  <si>
    <t>Perch_predatory_0.975Allo</t>
    <phoneticPr fontId="1" type="noConversion"/>
  </si>
  <si>
    <t>Perch_predatory_0.025Bio*Allo</t>
    <phoneticPr fontId="1" type="noConversion"/>
  </si>
  <si>
    <t>Perch_predatory_0.975Bio*Allo</t>
    <phoneticPr fontId="1" type="noConversion"/>
  </si>
  <si>
    <t>Pike_0.025Allo</t>
    <phoneticPr fontId="1" type="noConversion"/>
  </si>
  <si>
    <t>Pike_0.975Allo</t>
    <phoneticPr fontId="1" type="noConversion"/>
  </si>
  <si>
    <t>Pike_0.025Bio*Allo</t>
    <phoneticPr fontId="1" type="noConversion"/>
  </si>
  <si>
    <t>Pike_0.975Bio*Allo</t>
    <phoneticPr fontId="1" type="noConversion"/>
  </si>
  <si>
    <t>Roach_0.025Allo</t>
    <phoneticPr fontId="1" type="noConversion"/>
  </si>
  <si>
    <t>Roach_0.975Allo</t>
    <phoneticPr fontId="1" type="noConversion"/>
  </si>
  <si>
    <t>Roach_0.025Bio*Allo</t>
    <phoneticPr fontId="1" type="noConversion"/>
  </si>
  <si>
    <t>Roach_0.975Bio*Allo</t>
    <phoneticPr fontId="1" type="noConversion"/>
  </si>
  <si>
    <t>Ruffe_0.025Allo</t>
    <phoneticPr fontId="1" type="noConversion"/>
  </si>
  <si>
    <t>Ruffe_0.975Allo</t>
    <phoneticPr fontId="1" type="noConversion"/>
  </si>
  <si>
    <t>Ruffe_0.025Bio*Allo</t>
    <phoneticPr fontId="1" type="noConversion"/>
  </si>
  <si>
    <t>Ruffe_0.975Bio*Allo</t>
    <phoneticPr fontId="1" type="noConversion"/>
  </si>
  <si>
    <t>Vendace_0.025Allo</t>
    <phoneticPr fontId="1" type="noConversion"/>
  </si>
  <si>
    <t>Vendace_0.975Allo</t>
    <phoneticPr fontId="1" type="noConversion"/>
  </si>
  <si>
    <t>Vendace_0.025Bio*Allo</t>
    <phoneticPr fontId="1" type="noConversion"/>
  </si>
  <si>
    <t>Vendace_0.975Bio*Allo</t>
    <phoneticPr fontId="1" type="noConversion"/>
  </si>
  <si>
    <t>SSRwhitefish_0.025Allo</t>
    <phoneticPr fontId="1" type="noConversion"/>
  </si>
  <si>
    <t>SSRwhitefish_0.975Allo</t>
    <phoneticPr fontId="1" type="noConversion"/>
  </si>
  <si>
    <t>SSRwhitefish_0.025Bio*Allo</t>
    <phoneticPr fontId="1" type="noConversion"/>
  </si>
  <si>
    <t>SSRwhitefish_0.975Bio*Allo</t>
    <phoneticPr fontId="1" type="noConversion"/>
  </si>
  <si>
    <t>Smelt_0.025Allo</t>
    <phoneticPr fontId="1" type="noConversion"/>
  </si>
  <si>
    <t>Smelt_0.975Allo</t>
    <phoneticPr fontId="1" type="noConversion"/>
  </si>
  <si>
    <t>Smelt_0.025Bio*Allo</t>
    <phoneticPr fontId="1" type="noConversion"/>
  </si>
  <si>
    <t>Smelt_0.975Bio*Allo</t>
    <phoneticPr fontId="1" type="noConversion"/>
  </si>
  <si>
    <t>Arcticcharr_0.025Bio*Allo</t>
    <phoneticPr fontId="1" type="noConversion"/>
  </si>
  <si>
    <t>Arcticcharr_0.975Bio*Allo</t>
    <phoneticPr fontId="1" type="noConversion"/>
  </si>
  <si>
    <t>Ylisjarvi</t>
    <phoneticPr fontId="1" type="noConversion"/>
  </si>
  <si>
    <t>True_CPUE</t>
    <phoneticPr fontId="2" type="noConversion"/>
  </si>
  <si>
    <t>Relative_CPUE</t>
    <phoneticPr fontId="1" type="noConversion"/>
  </si>
  <si>
    <t>Bleak_0.5Allo</t>
    <phoneticPr fontId="1" type="noConversion"/>
  </si>
  <si>
    <t>Browntrout_0.5Allo</t>
    <phoneticPr fontId="1" type="noConversion"/>
  </si>
  <si>
    <t>Burbot_0.5Allo</t>
    <phoneticPr fontId="1" type="noConversion"/>
  </si>
  <si>
    <t>Grayling_0.5Allo</t>
    <phoneticPr fontId="1" type="noConversion"/>
  </si>
  <si>
    <t>LDRwhitefish_0.5Allo</t>
    <phoneticPr fontId="1" type="noConversion"/>
  </si>
  <si>
    <t>LSRwhitefish_0.5Allo</t>
    <phoneticPr fontId="1" type="noConversion"/>
  </si>
  <si>
    <t>Minnow_0.5Allo</t>
    <phoneticPr fontId="1" type="noConversion"/>
  </si>
  <si>
    <t>Perch_0.5Allo</t>
    <phoneticPr fontId="1" type="noConversion"/>
  </si>
  <si>
    <t>Perch_predatory_0.5Allo</t>
    <phoneticPr fontId="1" type="noConversion"/>
  </si>
  <si>
    <t>Pike_0.5Allo</t>
    <phoneticPr fontId="1" type="noConversion"/>
  </si>
  <si>
    <t>Roach_0.5Allo</t>
    <phoneticPr fontId="1" type="noConversion"/>
  </si>
  <si>
    <t>Ruffe_0.5Allo</t>
    <phoneticPr fontId="1" type="noConversion"/>
  </si>
  <si>
    <t>Alpinebullhead_0.5Bio*Allo</t>
  </si>
  <si>
    <t>Arcticcharr_0.5Bio*Allo</t>
  </si>
  <si>
    <t>Relative_total_0.025Bio*Allo</t>
    <phoneticPr fontId="1" type="noConversion"/>
  </si>
  <si>
    <t>True_total_0.5Bio*Allo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</si>
</sst>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DengXian"/>
      <family val="3"/>
      <charset val="134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5" fillId="4" borderId="0" xfId="0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5" fillId="0" borderId="0" xfId="0" applyFont="1"/>
    <xf numFmtId="176" fontId="5" fillId="5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Global_A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llo</a:t>
            </a:r>
            <a:r>
              <a:rPr lang="en-GB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~PC1</a:t>
            </a:r>
          </a:p>
        </c:rich>
      </c:tx>
      <c:layout>
        <c:manualLayout>
          <c:xMode val="edge"/>
          <c:yMode val="edge"/>
          <c:x val="0.40573609959991364"/>
          <c:y val="2.8168909951905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0.1744043165033102"/>
                  <c:y val="-0.223915108812580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'Lake+Species'!$D$2:$D$43</c:f>
              <c:numCache>
                <c:formatCode>0.000</c:formatCode>
                <c:ptCount val="42"/>
                <c:pt idx="0">
                  <c:v>3.5880109429791501E-2</c:v>
                </c:pt>
                <c:pt idx="1">
                  <c:v>0.59419417239058492</c:v>
                </c:pt>
                <c:pt idx="2">
                  <c:v>0.17476831771420501</c:v>
                </c:pt>
                <c:pt idx="3">
                  <c:v>4.3431639840170538E-2</c:v>
                </c:pt>
                <c:pt idx="4">
                  <c:v>7.7061114140699077E-2</c:v>
                </c:pt>
                <c:pt idx="5">
                  <c:v>0.18664878516834499</c:v>
                </c:pt>
                <c:pt idx="6">
                  <c:v>3.115456218597033E-2</c:v>
                </c:pt>
                <c:pt idx="7">
                  <c:v>0.65814001315689397</c:v>
                </c:pt>
                <c:pt idx="8">
                  <c:v>0.72054375156389305</c:v>
                </c:pt>
                <c:pt idx="9">
                  <c:v>9.6969402744975786E-2</c:v>
                </c:pt>
                <c:pt idx="10">
                  <c:v>8.9453298610378512E-2</c:v>
                </c:pt>
                <c:pt idx="11">
                  <c:v>0.65099469002522259</c:v>
                </c:pt>
                <c:pt idx="12">
                  <c:v>5.6130249759432191E-2</c:v>
                </c:pt>
                <c:pt idx="13">
                  <c:v>0.4215688067926629</c:v>
                </c:pt>
                <c:pt idx="14">
                  <c:v>7.3189711632606746E-3</c:v>
                </c:pt>
                <c:pt idx="15">
                  <c:v>0.1539097394816748</c:v>
                </c:pt>
                <c:pt idx="16">
                  <c:v>0.38823974687196922</c:v>
                </c:pt>
                <c:pt idx="17">
                  <c:v>0.44366838005314663</c:v>
                </c:pt>
                <c:pt idx="18">
                  <c:v>0.86579640201117225</c:v>
                </c:pt>
                <c:pt idx="19">
                  <c:v>9.6337044050454415E-2</c:v>
                </c:pt>
                <c:pt idx="20">
                  <c:v>0.77199128887154023</c:v>
                </c:pt>
                <c:pt idx="21">
                  <c:v>2.1977459130786591E-2</c:v>
                </c:pt>
                <c:pt idx="22">
                  <c:v>0.55278114297262049</c:v>
                </c:pt>
                <c:pt idx="23">
                  <c:v>0.20712834847271039</c:v>
                </c:pt>
                <c:pt idx="24">
                  <c:v>0.42548184642190739</c:v>
                </c:pt>
                <c:pt idx="25">
                  <c:v>2.8253682041011551E-2</c:v>
                </c:pt>
                <c:pt idx="26">
                  <c:v>4.2101098187735657E-2</c:v>
                </c:pt>
                <c:pt idx="27">
                  <c:v>0.23155858367624749</c:v>
                </c:pt>
                <c:pt idx="28">
                  <c:v>0.53736874859543426</c:v>
                </c:pt>
                <c:pt idx="29">
                  <c:v>0.2048346140463593</c:v>
                </c:pt>
                <c:pt idx="30">
                  <c:v>9.4179329294023229E-2</c:v>
                </c:pt>
                <c:pt idx="31">
                  <c:v>0.2385179110963534</c:v>
                </c:pt>
                <c:pt idx="32">
                  <c:v>8.0825486454361217E-2</c:v>
                </c:pt>
                <c:pt idx="33">
                  <c:v>0.1108405600074273</c:v>
                </c:pt>
                <c:pt idx="34">
                  <c:v>9.1797851964621202E-3</c:v>
                </c:pt>
                <c:pt idx="35">
                  <c:v>0.28227862083540889</c:v>
                </c:pt>
                <c:pt idx="36">
                  <c:v>0.73092833793271794</c:v>
                </c:pt>
                <c:pt idx="37">
                  <c:v>2.3293376253166281E-2</c:v>
                </c:pt>
                <c:pt idx="38">
                  <c:v>0.41061026953189139</c:v>
                </c:pt>
                <c:pt idx="39">
                  <c:v>0.2457467245086907</c:v>
                </c:pt>
                <c:pt idx="40">
                  <c:v>3.5757167274690263E-2</c:v>
                </c:pt>
                <c:pt idx="41">
                  <c:v>1.1623070752672901E-2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01-4E7A-B094-295D63962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9007"/>
        <c:axId val="14549967"/>
      </c:scatterChart>
      <c:valAx>
        <c:axId val="14549007"/>
        <c:scaling>
          <c:orientation val="minMax"/>
          <c:min val="-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200"/>
                  <a:t>PC1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9967"/>
        <c:crosses val="autoZero"/>
        <c:crossBetween val="midCat"/>
      </c:valAx>
      <c:valAx>
        <c:axId val="14549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200"/>
                  <a:t>Allo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900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B</a:t>
            </a:r>
            <a:r>
              <a:rPr lang="en-US" altLang="zh-CN"/>
              <a:t>leak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7778858732825544E-2"/>
                  <c:y val="-0.447219732561155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'Lake+Species'!$AE$2:$AE$43</c:f>
              <c:numCache>
                <c:formatCode>General</c:formatCode>
                <c:ptCount val="42"/>
                <c:pt idx="0">
                  <c:v>2.4655326014519479</c:v>
                </c:pt>
                <c:pt idx="1">
                  <c:v>3.4327639696376835</c:v>
                </c:pt>
                <c:pt idx="2">
                  <c:v>8.6267033078943225</c:v>
                </c:pt>
                <c:pt idx="3">
                  <c:v>1.6687990354706714</c:v>
                </c:pt>
                <c:pt idx="4">
                  <c:v>1.6514823325569166</c:v>
                </c:pt>
                <c:pt idx="5">
                  <c:v>0.85025178270221602</c:v>
                </c:pt>
                <c:pt idx="6">
                  <c:v>3.8114505837254078</c:v>
                </c:pt>
                <c:pt idx="9">
                  <c:v>4.3184763561755455</c:v>
                </c:pt>
                <c:pt idx="10">
                  <c:v>8.9437853961058416</c:v>
                </c:pt>
                <c:pt idx="14">
                  <c:v>0.21824351528729158</c:v>
                </c:pt>
                <c:pt idx="19">
                  <c:v>0.13287639708718546</c:v>
                </c:pt>
                <c:pt idx="23">
                  <c:v>0.97119127749171419</c:v>
                </c:pt>
                <c:pt idx="25">
                  <c:v>3.2411256685909433</c:v>
                </c:pt>
                <c:pt idx="26">
                  <c:v>11.951255233978047</c:v>
                </c:pt>
                <c:pt idx="27">
                  <c:v>3.6734243643716664</c:v>
                </c:pt>
                <c:pt idx="29">
                  <c:v>3.554050985034868</c:v>
                </c:pt>
                <c:pt idx="30">
                  <c:v>6.1654222378194259</c:v>
                </c:pt>
                <c:pt idx="32">
                  <c:v>11.008447020586049</c:v>
                </c:pt>
                <c:pt idx="33">
                  <c:v>2.1709073375751142</c:v>
                </c:pt>
                <c:pt idx="34">
                  <c:v>2.3863457473771773E-2</c:v>
                </c:pt>
                <c:pt idx="37">
                  <c:v>1.1683134344564583</c:v>
                </c:pt>
                <c:pt idx="39">
                  <c:v>2.3303606900998535</c:v>
                </c:pt>
                <c:pt idx="40">
                  <c:v>10.954919116661967</c:v>
                </c:pt>
                <c:pt idx="41">
                  <c:v>6.4352795814914545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D-402A-B926-4914F0B82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Browntrout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'Lake+Species'!$AL$2:$AL$43</c:f>
              <c:numCache>
                <c:formatCode>General</c:formatCode>
                <c:ptCount val="42"/>
                <c:pt idx="13">
                  <c:v>5.2817512862694489</c:v>
                </c:pt>
                <c:pt idx="18">
                  <c:v>46.057886244131161</c:v>
                </c:pt>
                <c:pt idx="22">
                  <c:v>11.181126662550792</c:v>
                </c:pt>
                <c:pt idx="28">
                  <c:v>8.5329330689262228</c:v>
                </c:pt>
                <c:pt idx="36">
                  <c:v>6.9314995953792078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1-4AD5-A0D6-849D0C53B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Burbot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'Lake+Species'!$AS$2:$AS$43</c:f>
              <c:numCache>
                <c:formatCode>General</c:formatCode>
                <c:ptCount val="42"/>
                <c:pt idx="8">
                  <c:v>36.373301172300728</c:v>
                </c:pt>
                <c:pt idx="13">
                  <c:v>3.1475831099478722</c:v>
                </c:pt>
                <c:pt idx="18">
                  <c:v>1.8568935973661214</c:v>
                </c:pt>
                <c:pt idx="20">
                  <c:v>0.89751549044702394</c:v>
                </c:pt>
                <c:pt idx="22">
                  <c:v>5.1724307766900841</c:v>
                </c:pt>
                <c:pt idx="28">
                  <c:v>27.885120509435346</c:v>
                </c:pt>
                <c:pt idx="36">
                  <c:v>5.1868075663630382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F-4880-BA98-5F7EF05A2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DRwhitefish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'Lake+Species'!$AZ$2:$AZ$43</c:f>
              <c:numCache>
                <c:formatCode>General</c:formatCode>
                <c:ptCount val="42"/>
                <c:pt idx="18">
                  <c:v>60.454585762434469</c:v>
                </c:pt>
                <c:pt idx="22">
                  <c:v>8.933473723328289</c:v>
                </c:pt>
                <c:pt idx="28">
                  <c:v>93.672183543806852</c:v>
                </c:pt>
                <c:pt idx="36">
                  <c:v>41.523574061626327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F-4B18-BEE0-88A770F20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Grayling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'Lake+Species'!$BG$2:$BG$43</c:f>
              <c:numCache>
                <c:formatCode>General</c:formatCode>
                <c:ptCount val="42"/>
                <c:pt idx="13">
                  <c:v>1.1041930064376295</c:v>
                </c:pt>
                <c:pt idx="20">
                  <c:v>2.9054982194767414</c:v>
                </c:pt>
                <c:pt idx="22">
                  <c:v>2.968409817547077</c:v>
                </c:pt>
                <c:pt idx="28">
                  <c:v>4.8987843203029584</c:v>
                </c:pt>
                <c:pt idx="36">
                  <c:v>2.1343691255944641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0-4D47-9829-C5912A48B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LSRwhitefish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390891422677036"/>
                  <c:y val="-0.211790346931338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'Lake+Species'!$BU$2:$BU$43</c:f>
              <c:numCache>
                <c:formatCode>General</c:formatCode>
                <c:ptCount val="42"/>
                <c:pt idx="8">
                  <c:v>39.646985819289945</c:v>
                </c:pt>
                <c:pt idx="13">
                  <c:v>56.395879392621545</c:v>
                </c:pt>
                <c:pt idx="18">
                  <c:v>73.720233345418094</c:v>
                </c:pt>
                <c:pt idx="20">
                  <c:v>130.566795205689</c:v>
                </c:pt>
                <c:pt idx="22">
                  <c:v>31.228964253310352</c:v>
                </c:pt>
                <c:pt idx="27">
                  <c:v>0.20203539537116347</c:v>
                </c:pt>
                <c:pt idx="28">
                  <c:v>21.372590705580276</c:v>
                </c:pt>
                <c:pt idx="31">
                  <c:v>44.922159789956297</c:v>
                </c:pt>
                <c:pt idx="36">
                  <c:v>110.49113222969683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8-4EBA-8637-CB2D87A1A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Minnow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'Lake+Species'!$CB$2:$CB$43</c:f>
              <c:numCache>
                <c:formatCode>General</c:formatCode>
                <c:ptCount val="42"/>
                <c:pt idx="13">
                  <c:v>0.10424939121410431</c:v>
                </c:pt>
                <c:pt idx="20">
                  <c:v>0.14734750240820965</c:v>
                </c:pt>
                <c:pt idx="22">
                  <c:v>2.4398050478865067E-2</c:v>
                </c:pt>
                <c:pt idx="28">
                  <c:v>7.6707014888706085E-2</c:v>
                </c:pt>
                <c:pt idx="36">
                  <c:v>2.3131322249576963E-2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6-4252-8BBF-5410B0DAA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Perch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0.13332741206080206"/>
                  <c:y val="-0.552176182643724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1159097398845854E-2"/>
                  <c:y val="-0.522599947189481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'Lake+Species'!$CI$2:$CI$43</c:f>
              <c:numCache>
                <c:formatCode>General</c:formatCode>
                <c:ptCount val="42"/>
                <c:pt idx="0">
                  <c:v>11.277689086730913</c:v>
                </c:pt>
                <c:pt idx="1">
                  <c:v>92.725469091036757</c:v>
                </c:pt>
                <c:pt idx="2">
                  <c:v>25.138478532632025</c:v>
                </c:pt>
                <c:pt idx="3">
                  <c:v>16.230205444350503</c:v>
                </c:pt>
                <c:pt idx="4">
                  <c:v>40.103234188416735</c:v>
                </c:pt>
                <c:pt idx="5">
                  <c:v>18.350056398955058</c:v>
                </c:pt>
                <c:pt idx="6">
                  <c:v>7.1653278005833334</c:v>
                </c:pt>
                <c:pt idx="7">
                  <c:v>69.961766700796574</c:v>
                </c:pt>
                <c:pt idx="8">
                  <c:v>42.132368337677207</c:v>
                </c:pt>
                <c:pt idx="9">
                  <c:v>14.783831925774111</c:v>
                </c:pt>
                <c:pt idx="10">
                  <c:v>32.371155444031182</c:v>
                </c:pt>
                <c:pt idx="11">
                  <c:v>102.72980397295122</c:v>
                </c:pt>
                <c:pt idx="12">
                  <c:v>19.10906647754452</c:v>
                </c:pt>
                <c:pt idx="14">
                  <c:v>1.9703554056699735</c:v>
                </c:pt>
                <c:pt idx="15">
                  <c:v>57.549953630130709</c:v>
                </c:pt>
                <c:pt idx="16">
                  <c:v>183.45805252897662</c:v>
                </c:pt>
                <c:pt idx="17">
                  <c:v>23.804014301496824</c:v>
                </c:pt>
                <c:pt idx="18">
                  <c:v>1.7577472791232647</c:v>
                </c:pt>
                <c:pt idx="19">
                  <c:v>2.4490026663941213</c:v>
                </c:pt>
                <c:pt idx="20">
                  <c:v>6.3995470493180209</c:v>
                </c:pt>
                <c:pt idx="21">
                  <c:v>0.57054266568430823</c:v>
                </c:pt>
                <c:pt idx="22">
                  <c:v>3.057340877330492E-2</c:v>
                </c:pt>
                <c:pt idx="23">
                  <c:v>42.50175304126769</c:v>
                </c:pt>
                <c:pt idx="24">
                  <c:v>22.519857357909391</c:v>
                </c:pt>
                <c:pt idx="25">
                  <c:v>5.6326862930554062</c:v>
                </c:pt>
                <c:pt idx="26">
                  <c:v>1.7288238295283802</c:v>
                </c:pt>
                <c:pt idx="27">
                  <c:v>4.8356376184770848</c:v>
                </c:pt>
                <c:pt idx="29">
                  <c:v>40.099786624520696</c:v>
                </c:pt>
                <c:pt idx="30">
                  <c:v>0.42675345084651678</c:v>
                </c:pt>
                <c:pt idx="31">
                  <c:v>6.9227743869194596</c:v>
                </c:pt>
                <c:pt idx="32">
                  <c:v>0.67536619799029052</c:v>
                </c:pt>
                <c:pt idx="33">
                  <c:v>2.9377333359013762</c:v>
                </c:pt>
                <c:pt idx="34">
                  <c:v>7.879400652773163</c:v>
                </c:pt>
                <c:pt idx="35">
                  <c:v>3.6424477176648704</c:v>
                </c:pt>
                <c:pt idx="36">
                  <c:v>3.1070927952220129</c:v>
                </c:pt>
                <c:pt idx="37">
                  <c:v>4.6658470211239589</c:v>
                </c:pt>
                <c:pt idx="38">
                  <c:v>108.10482704935046</c:v>
                </c:pt>
                <c:pt idx="39">
                  <c:v>30.022395208786715</c:v>
                </c:pt>
                <c:pt idx="40">
                  <c:v>2.1383829650597788</c:v>
                </c:pt>
                <c:pt idx="41">
                  <c:v>1.3673420824532665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81-4075-BB62-860E691E7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Perch_predatory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210974386899268"/>
                  <c:y val="-0.505350467837628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'Lake+Species'!$CP$2:$CP$43</c:f>
              <c:numCache>
                <c:formatCode>General</c:formatCode>
                <c:ptCount val="42"/>
                <c:pt idx="0">
                  <c:v>8.4598429780633424</c:v>
                </c:pt>
                <c:pt idx="1">
                  <c:v>155.72741565862114</c:v>
                </c:pt>
                <c:pt idx="2">
                  <c:v>32.605306101146631</c:v>
                </c:pt>
                <c:pt idx="3">
                  <c:v>38.865601940230427</c:v>
                </c:pt>
                <c:pt idx="4">
                  <c:v>96.055791758153447</c:v>
                </c:pt>
                <c:pt idx="5">
                  <c:v>32.457666869410403</c:v>
                </c:pt>
                <c:pt idx="6">
                  <c:v>15.444753713016128</c:v>
                </c:pt>
                <c:pt idx="7">
                  <c:v>129.00627248262879</c:v>
                </c:pt>
                <c:pt idx="8">
                  <c:v>24.714926827115598</c:v>
                </c:pt>
                <c:pt idx="9">
                  <c:v>110.78581267655105</c:v>
                </c:pt>
                <c:pt idx="11">
                  <c:v>107.39008546846952</c:v>
                </c:pt>
                <c:pt idx="12">
                  <c:v>92.688308305819788</c:v>
                </c:pt>
                <c:pt idx="14">
                  <c:v>9.0228949724621188</c:v>
                </c:pt>
                <c:pt idx="15">
                  <c:v>84.202740698424719</c:v>
                </c:pt>
                <c:pt idx="16">
                  <c:v>761.65672256876201</c:v>
                </c:pt>
                <c:pt idx="17">
                  <c:v>79.404935460955528</c:v>
                </c:pt>
                <c:pt idx="18">
                  <c:v>265.08540765276587</c:v>
                </c:pt>
                <c:pt idx="19">
                  <c:v>35.879852504012327</c:v>
                </c:pt>
                <c:pt idx="21">
                  <c:v>16.781449747087347</c:v>
                </c:pt>
                <c:pt idx="22">
                  <c:v>5.4786543902896154</c:v>
                </c:pt>
                <c:pt idx="23">
                  <c:v>42.448061172827487</c:v>
                </c:pt>
                <c:pt idx="24">
                  <c:v>1458.0419652945591</c:v>
                </c:pt>
                <c:pt idx="25">
                  <c:v>17.692245605814222</c:v>
                </c:pt>
                <c:pt idx="26">
                  <c:v>10.954608397750311</c:v>
                </c:pt>
                <c:pt idx="27">
                  <c:v>28.006713829764003</c:v>
                </c:pt>
                <c:pt idx="28">
                  <c:v>0.31767436673926691</c:v>
                </c:pt>
                <c:pt idx="29">
                  <c:v>70.946920157473798</c:v>
                </c:pt>
                <c:pt idx="30">
                  <c:v>6.9945792040608605</c:v>
                </c:pt>
                <c:pt idx="31">
                  <c:v>38.453844706461858</c:v>
                </c:pt>
                <c:pt idx="32">
                  <c:v>16.859350975159657</c:v>
                </c:pt>
                <c:pt idx="33">
                  <c:v>58.710549135127103</c:v>
                </c:pt>
                <c:pt idx="34">
                  <c:v>6.1865702016753605</c:v>
                </c:pt>
                <c:pt idx="36">
                  <c:v>108.33538947454252</c:v>
                </c:pt>
                <c:pt idx="37">
                  <c:v>22.119739656923009</c:v>
                </c:pt>
                <c:pt idx="38">
                  <c:v>148.61847284530899</c:v>
                </c:pt>
                <c:pt idx="39">
                  <c:v>61.851226128402509</c:v>
                </c:pt>
                <c:pt idx="40">
                  <c:v>13.423241687650007</c:v>
                </c:pt>
                <c:pt idx="41">
                  <c:v>11.855197727285825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5-43C6-BB32-067208DDF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Pike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154358512980849"/>
                  <c:y val="-0.524428827653826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'Lake+Species'!$CW$2:$CW$43</c:f>
              <c:numCache>
                <c:formatCode>General</c:formatCode>
                <c:ptCount val="42"/>
                <c:pt idx="1">
                  <c:v>10.295491076235953</c:v>
                </c:pt>
                <c:pt idx="2">
                  <c:v>28.125853366752089</c:v>
                </c:pt>
                <c:pt idx="4">
                  <c:v>1.7029134563720045</c:v>
                </c:pt>
                <c:pt idx="5">
                  <c:v>9.6326022317922266</c:v>
                </c:pt>
                <c:pt idx="6">
                  <c:v>3.0464941124151039</c:v>
                </c:pt>
                <c:pt idx="7">
                  <c:v>138.03657145897009</c:v>
                </c:pt>
                <c:pt idx="8">
                  <c:v>10.56461161926198</c:v>
                </c:pt>
                <c:pt idx="9">
                  <c:v>24.738283205800617</c:v>
                </c:pt>
                <c:pt idx="10">
                  <c:v>7.1276995014503983</c:v>
                </c:pt>
                <c:pt idx="12">
                  <c:v>15.173357928485947</c:v>
                </c:pt>
                <c:pt idx="13">
                  <c:v>4.496822196413789E-2</c:v>
                </c:pt>
                <c:pt idx="14">
                  <c:v>2.8888002821320677</c:v>
                </c:pt>
                <c:pt idx="15">
                  <c:v>6.7760044369677583</c:v>
                </c:pt>
                <c:pt idx="16">
                  <c:v>370.40342541902294</c:v>
                </c:pt>
                <c:pt idx="17">
                  <c:v>58.946780290959637</c:v>
                </c:pt>
                <c:pt idx="18">
                  <c:v>34.879265019616774</c:v>
                </c:pt>
                <c:pt idx="19">
                  <c:v>10.330536718519317</c:v>
                </c:pt>
                <c:pt idx="20">
                  <c:v>127.2459419363939</c:v>
                </c:pt>
                <c:pt idx="22">
                  <c:v>1.5677846470785706</c:v>
                </c:pt>
                <c:pt idx="23">
                  <c:v>18.562802146400081</c:v>
                </c:pt>
                <c:pt idx="25">
                  <c:v>1.860976120993814</c:v>
                </c:pt>
                <c:pt idx="26">
                  <c:v>7.3514248391571879</c:v>
                </c:pt>
                <c:pt idx="27">
                  <c:v>62.125507171422925</c:v>
                </c:pt>
                <c:pt idx="28">
                  <c:v>21.086279588950422</c:v>
                </c:pt>
                <c:pt idx="29">
                  <c:v>27.54370314705967</c:v>
                </c:pt>
                <c:pt idx="30">
                  <c:v>10.952855868421169</c:v>
                </c:pt>
                <c:pt idx="31">
                  <c:v>0.36565940996502289</c:v>
                </c:pt>
                <c:pt idx="35">
                  <c:v>609.72780976975116</c:v>
                </c:pt>
                <c:pt idx="36">
                  <c:v>76.597940789352791</c:v>
                </c:pt>
                <c:pt idx="38">
                  <c:v>12.19137055748706</c:v>
                </c:pt>
                <c:pt idx="39">
                  <c:v>17.90253779180911</c:v>
                </c:pt>
                <c:pt idx="40">
                  <c:v>8.573502473912308</c:v>
                </c:pt>
                <c:pt idx="41">
                  <c:v>6.5653726582256793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D-464D-85F8-43B452287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Roach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25394880918084E-2"/>
                  <c:y val="-0.572175034589498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'Lake+Species'!$DD$2:$DD$43</c:f>
              <c:numCache>
                <c:formatCode>General</c:formatCode>
                <c:ptCount val="42"/>
                <c:pt idx="0">
                  <c:v>5.9669218201336891</c:v>
                </c:pt>
                <c:pt idx="1">
                  <c:v>26.750546230895505</c:v>
                </c:pt>
                <c:pt idx="2">
                  <c:v>31.64326720600371</c:v>
                </c:pt>
                <c:pt idx="3">
                  <c:v>36.508264904796199</c:v>
                </c:pt>
                <c:pt idx="4">
                  <c:v>64.695312382750345</c:v>
                </c:pt>
                <c:pt idx="5">
                  <c:v>20.993354430573699</c:v>
                </c:pt>
                <c:pt idx="6">
                  <c:v>7.5916888261273439</c:v>
                </c:pt>
                <c:pt idx="7">
                  <c:v>55.003274237368352</c:v>
                </c:pt>
                <c:pt idx="9">
                  <c:v>24.296824994244275</c:v>
                </c:pt>
                <c:pt idx="10">
                  <c:v>26.917643207646609</c:v>
                </c:pt>
                <c:pt idx="11">
                  <c:v>86.092221318166509</c:v>
                </c:pt>
                <c:pt idx="12">
                  <c:v>11.97069445525014</c:v>
                </c:pt>
                <c:pt idx="14">
                  <c:v>9.6258953798614382</c:v>
                </c:pt>
                <c:pt idx="15">
                  <c:v>158.66158882266245</c:v>
                </c:pt>
                <c:pt idx="16">
                  <c:v>474.99796694739507</c:v>
                </c:pt>
                <c:pt idx="19">
                  <c:v>19.841153859972501</c:v>
                </c:pt>
                <c:pt idx="20">
                  <c:v>5.8754887804539566E-2</c:v>
                </c:pt>
                <c:pt idx="21">
                  <c:v>1.8718874714895519</c:v>
                </c:pt>
                <c:pt idx="23">
                  <c:v>28.555728203443479</c:v>
                </c:pt>
                <c:pt idx="25">
                  <c:v>34.415033840595399</c:v>
                </c:pt>
                <c:pt idx="26">
                  <c:v>6.9607052557302573</c:v>
                </c:pt>
                <c:pt idx="27">
                  <c:v>61.489433568822896</c:v>
                </c:pt>
                <c:pt idx="29">
                  <c:v>49.526559627229332</c:v>
                </c:pt>
                <c:pt idx="30">
                  <c:v>14.801430232459474</c:v>
                </c:pt>
                <c:pt idx="32">
                  <c:v>1.1927592008724364</c:v>
                </c:pt>
                <c:pt idx="33">
                  <c:v>10.139971728844479</c:v>
                </c:pt>
                <c:pt idx="34">
                  <c:v>15.759421655954576</c:v>
                </c:pt>
                <c:pt idx="37">
                  <c:v>7.6457498218121245</c:v>
                </c:pt>
                <c:pt idx="38">
                  <c:v>74.816609958432522</c:v>
                </c:pt>
                <c:pt idx="39">
                  <c:v>36.790463976931832</c:v>
                </c:pt>
                <c:pt idx="40">
                  <c:v>1.9440262603538321</c:v>
                </c:pt>
                <c:pt idx="41">
                  <c:v>7.5738794474022155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1-4C7A-9A3A-DFA9EAFD5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Ruffe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0075236152311773E-2"/>
                  <c:y val="-0.590029036405020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'Lake+Species'!$DK$2:$DK$43</c:f>
              <c:numCache>
                <c:formatCode>General</c:formatCode>
                <c:ptCount val="42"/>
                <c:pt idx="0">
                  <c:v>3.662211079282875</c:v>
                </c:pt>
                <c:pt idx="1">
                  <c:v>4.4876685891232322</c:v>
                </c:pt>
                <c:pt idx="2">
                  <c:v>3.6648168681387729</c:v>
                </c:pt>
                <c:pt idx="3">
                  <c:v>4.4912652206272785</c:v>
                </c:pt>
                <c:pt idx="4">
                  <c:v>3.7746339922708869</c:v>
                </c:pt>
                <c:pt idx="5">
                  <c:v>0.72665988799519055</c:v>
                </c:pt>
                <c:pt idx="6">
                  <c:v>2.9393045975486651</c:v>
                </c:pt>
                <c:pt idx="7">
                  <c:v>12.621348226151657</c:v>
                </c:pt>
                <c:pt idx="8">
                  <c:v>159.29282945421022</c:v>
                </c:pt>
                <c:pt idx="9">
                  <c:v>1.7809869121769879</c:v>
                </c:pt>
                <c:pt idx="10">
                  <c:v>1.882807889425371</c:v>
                </c:pt>
                <c:pt idx="11">
                  <c:v>1.5825248009181199</c:v>
                </c:pt>
                <c:pt idx="12">
                  <c:v>2.3162143317258259</c:v>
                </c:pt>
                <c:pt idx="14">
                  <c:v>1.3286456669826114</c:v>
                </c:pt>
                <c:pt idx="15">
                  <c:v>19.177007509581156</c:v>
                </c:pt>
                <c:pt idx="19">
                  <c:v>4.4553219108748934</c:v>
                </c:pt>
                <c:pt idx="20">
                  <c:v>13.006022558662593</c:v>
                </c:pt>
                <c:pt idx="21">
                  <c:v>0.71556887384513213</c:v>
                </c:pt>
                <c:pt idx="23">
                  <c:v>3.2736766257396566</c:v>
                </c:pt>
                <c:pt idx="25">
                  <c:v>1.6250892590888781</c:v>
                </c:pt>
                <c:pt idx="26">
                  <c:v>1.3580400850623915</c:v>
                </c:pt>
                <c:pt idx="27">
                  <c:v>7.5141218593298582</c:v>
                </c:pt>
                <c:pt idx="28">
                  <c:v>2.3882580889591662</c:v>
                </c:pt>
                <c:pt idx="29">
                  <c:v>3.3425835088864928</c:v>
                </c:pt>
                <c:pt idx="30">
                  <c:v>4.6545029521941617</c:v>
                </c:pt>
                <c:pt idx="31">
                  <c:v>66.983596339565338</c:v>
                </c:pt>
                <c:pt idx="32">
                  <c:v>1.0633037820134601</c:v>
                </c:pt>
                <c:pt idx="33">
                  <c:v>0.42790164585777923</c:v>
                </c:pt>
                <c:pt idx="34">
                  <c:v>1.046996332509244</c:v>
                </c:pt>
                <c:pt idx="37">
                  <c:v>1.8409199005846217</c:v>
                </c:pt>
                <c:pt idx="38">
                  <c:v>2.8817448476860523</c:v>
                </c:pt>
                <c:pt idx="39">
                  <c:v>2.0977213899390712</c:v>
                </c:pt>
                <c:pt idx="40">
                  <c:v>2.4040594915089559</c:v>
                </c:pt>
                <c:pt idx="41">
                  <c:v>1.4306113161106848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F-44F3-B86B-387DB544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Smelt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207816261810176"/>
                  <c:y val="-0.602267583679230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'Lake+Species'!$DR$2:$DR$43</c:f>
              <c:numCache>
                <c:formatCode>General</c:formatCode>
                <c:ptCount val="42"/>
                <c:pt idx="2">
                  <c:v>5.2304775701170932E-2</c:v>
                </c:pt>
                <c:pt idx="3">
                  <c:v>5.3752649663072723E-3</c:v>
                </c:pt>
                <c:pt idx="4">
                  <c:v>8.5323859475992844E-2</c:v>
                </c:pt>
                <c:pt idx="5">
                  <c:v>4.8378256277961836E-2</c:v>
                </c:pt>
                <c:pt idx="6">
                  <c:v>0.10022179498228385</c:v>
                </c:pt>
                <c:pt idx="9">
                  <c:v>0.13081613754411686</c:v>
                </c:pt>
                <c:pt idx="12">
                  <c:v>7.5087842738828889E-2</c:v>
                </c:pt>
                <c:pt idx="14">
                  <c:v>4.2786348640898753E-2</c:v>
                </c:pt>
                <c:pt idx="21">
                  <c:v>1.0396775255242642E-4</c:v>
                </c:pt>
                <c:pt idx="25">
                  <c:v>1.0475289923711786E-2</c:v>
                </c:pt>
                <c:pt idx="26">
                  <c:v>5.3452358021164791E-2</c:v>
                </c:pt>
                <c:pt idx="27">
                  <c:v>0.12013807676472134</c:v>
                </c:pt>
                <c:pt idx="29">
                  <c:v>1.7766106516433962E-2</c:v>
                </c:pt>
                <c:pt idx="30">
                  <c:v>5.0730023716804788E-2</c:v>
                </c:pt>
                <c:pt idx="32">
                  <c:v>2.3291457600287404E-3</c:v>
                </c:pt>
                <c:pt idx="33">
                  <c:v>1.4774823410755181E-2</c:v>
                </c:pt>
                <c:pt idx="37">
                  <c:v>0.14323096048213163</c:v>
                </c:pt>
                <c:pt idx="39">
                  <c:v>0.19250440570970842</c:v>
                </c:pt>
                <c:pt idx="40">
                  <c:v>9.9853844286830755E-4</c:v>
                </c:pt>
                <c:pt idx="41">
                  <c:v>1.0146962988398086E-2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3-43B9-B0EF-42C82E93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Vendance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422065916853779"/>
                  <c:y val="-0.351828590742098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'Lake+Species'!$EF$2:$EF$43</c:f>
              <c:numCache>
                <c:formatCode>General</c:formatCode>
                <c:ptCount val="42"/>
                <c:pt idx="0">
                  <c:v>0.45105817688681271</c:v>
                </c:pt>
                <c:pt idx="1">
                  <c:v>3.0030284745883393</c:v>
                </c:pt>
                <c:pt idx="4">
                  <c:v>7.8338586836115429E-2</c:v>
                </c:pt>
                <c:pt idx="5">
                  <c:v>0.68782268737820085</c:v>
                </c:pt>
                <c:pt idx="6">
                  <c:v>0.12578320773435905</c:v>
                </c:pt>
                <c:pt idx="8">
                  <c:v>19.198291556004353</c:v>
                </c:pt>
                <c:pt idx="9">
                  <c:v>1.5916567147371934</c:v>
                </c:pt>
                <c:pt idx="21">
                  <c:v>1.5727827734892657E-2</c:v>
                </c:pt>
                <c:pt idx="27">
                  <c:v>13.648565277629654</c:v>
                </c:pt>
                <c:pt idx="31">
                  <c:v>9.3204188112668991</c:v>
                </c:pt>
                <c:pt idx="32">
                  <c:v>4.6610047344148468E-2</c:v>
                </c:pt>
                <c:pt idx="37">
                  <c:v>6.8045813617611056E-2</c:v>
                </c:pt>
                <c:pt idx="39">
                  <c:v>1.379424177316442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B-4BD4-96C6-3396D2E35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59647"/>
        <c:axId val="1576560127"/>
      </c:scatterChart>
      <c:valAx>
        <c:axId val="1576559647"/>
        <c:scaling>
          <c:orientation val="minMax"/>
          <c:min val="-7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60127"/>
        <c:crosses val="autoZero"/>
        <c:crossBetween val="midCat"/>
      </c:valAx>
      <c:valAx>
        <c:axId val="157656012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55964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True_CPUE~PC1</a:t>
            </a:r>
          </a:p>
        </c:rich>
      </c:tx>
      <c:layout>
        <c:manualLayout>
          <c:xMode val="edge"/>
          <c:yMode val="edge"/>
          <c:x val="0.38764474228217993"/>
          <c:y val="4.2372724273305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0.11319878963835006"/>
                  <c:y val="-0.540928789356030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'Lake+Species'!$G$2:$G$43</c:f>
              <c:numCache>
                <c:formatCode>General</c:formatCode>
                <c:ptCount val="42"/>
                <c:pt idx="0">
                  <c:v>1272.6300000000001</c:v>
                </c:pt>
                <c:pt idx="1">
                  <c:v>461.34</c:v>
                </c:pt>
                <c:pt idx="2">
                  <c:v>757.56999999999994</c:v>
                </c:pt>
                <c:pt idx="3">
                  <c:v>2593.0200000000004</c:v>
                </c:pt>
                <c:pt idx="4">
                  <c:v>2953.67</c:v>
                </c:pt>
                <c:pt idx="5">
                  <c:v>385.64</c:v>
                </c:pt>
                <c:pt idx="6">
                  <c:v>2069.9</c:v>
                </c:pt>
                <c:pt idx="7">
                  <c:v>685.60000000000014</c:v>
                </c:pt>
                <c:pt idx="8">
                  <c:v>481.8885224484593</c:v>
                </c:pt>
                <c:pt idx="9">
                  <c:v>1275.73</c:v>
                </c:pt>
                <c:pt idx="10">
                  <c:v>1234.8480772458954</c:v>
                </c:pt>
                <c:pt idx="11">
                  <c:v>478.84000000000003</c:v>
                </c:pt>
                <c:pt idx="12">
                  <c:v>1425.75</c:v>
                </c:pt>
                <c:pt idx="13">
                  <c:v>207.19713779128679</c:v>
                </c:pt>
                <c:pt idx="14">
                  <c:v>3657.23</c:v>
                </c:pt>
                <c:pt idx="15">
                  <c:v>2295.6</c:v>
                </c:pt>
                <c:pt idx="16">
                  <c:v>3720.4</c:v>
                </c:pt>
                <c:pt idx="17">
                  <c:v>558.89</c:v>
                </c:pt>
                <c:pt idx="18">
                  <c:v>745.30161776802856</c:v>
                </c:pt>
                <c:pt idx="19">
                  <c:v>1047.6000000000001</c:v>
                </c:pt>
                <c:pt idx="20">
                  <c:v>363.80770825000002</c:v>
                </c:pt>
                <c:pt idx="21">
                  <c:v>651.06000000000006</c:v>
                </c:pt>
                <c:pt idx="22">
                  <c:v>304.61125457738979</c:v>
                </c:pt>
                <c:pt idx="23">
                  <c:v>715.65</c:v>
                </c:pt>
                <c:pt idx="24">
                  <c:v>2810.5</c:v>
                </c:pt>
                <c:pt idx="25">
                  <c:v>3188.77</c:v>
                </c:pt>
                <c:pt idx="26">
                  <c:v>1526.4700000000003</c:v>
                </c:pt>
                <c:pt idx="27">
                  <c:v>661.00433995427125</c:v>
                </c:pt>
                <c:pt idx="28">
                  <c:v>302.01638576779021</c:v>
                </c:pt>
                <c:pt idx="29">
                  <c:v>752.06</c:v>
                </c:pt>
                <c:pt idx="30">
                  <c:v>3355.55</c:v>
                </c:pt>
                <c:pt idx="31">
                  <c:v>689.6664203612479</c:v>
                </c:pt>
                <c:pt idx="32">
                  <c:v>232.89999999999998</c:v>
                </c:pt>
                <c:pt idx="33">
                  <c:v>376.08</c:v>
                </c:pt>
                <c:pt idx="34">
                  <c:v>4507.7</c:v>
                </c:pt>
                <c:pt idx="35">
                  <c:v>1165.97</c:v>
                </c:pt>
                <c:pt idx="36">
                  <c:v>504.56852072347903</c:v>
                </c:pt>
                <c:pt idx="37">
                  <c:v>1607.83</c:v>
                </c:pt>
                <c:pt idx="38">
                  <c:v>881.1</c:v>
                </c:pt>
                <c:pt idx="39">
                  <c:v>1031.52</c:v>
                </c:pt>
                <c:pt idx="40">
                  <c:v>2121.59</c:v>
                </c:pt>
                <c:pt idx="41">
                  <c:v>4140.1499999999996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0-48A2-8012-0E6854A6F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9007"/>
        <c:axId val="14549967"/>
      </c:scatterChart>
      <c:valAx>
        <c:axId val="14549007"/>
        <c:scaling>
          <c:orientation val="minMax"/>
          <c:min val="-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PC1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9967"/>
        <c:crosses val="autoZero"/>
        <c:crossBetween val="midCat"/>
      </c:valAx>
      <c:valAx>
        <c:axId val="14549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200"/>
                  <a:t>True_CPUE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900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Relative_CPUE~PC1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0.10294641300453017"/>
                  <c:y val="-0.535130806787050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'Lake+Species'!$B$2:$B$43</c:f>
              <c:numCache>
                <c:formatCode>0.000</c:formatCode>
                <c:ptCount val="42"/>
                <c:pt idx="0">
                  <c:v>-1.1710702460521889</c:v>
                </c:pt>
                <c:pt idx="1">
                  <c:v>2.9172268138024711</c:v>
                </c:pt>
                <c:pt idx="2">
                  <c:v>-1.138307345609308</c:v>
                </c:pt>
                <c:pt idx="3">
                  <c:v>-1.0370981168985871</c:v>
                </c:pt>
                <c:pt idx="4">
                  <c:v>-0.64051867316985034</c:v>
                </c:pt>
                <c:pt idx="5">
                  <c:v>1.6256594275307421</c:v>
                </c:pt>
                <c:pt idx="6">
                  <c:v>-1.7407006965289029</c:v>
                </c:pt>
                <c:pt idx="7">
                  <c:v>1.8576846479093789</c:v>
                </c:pt>
                <c:pt idx="8">
                  <c:v>0.7276883241265133</c:v>
                </c:pt>
                <c:pt idx="9">
                  <c:v>0.61556901496778882</c:v>
                </c:pt>
                <c:pt idx="10">
                  <c:v>-0.52847475385239717</c:v>
                </c:pt>
                <c:pt idx="11">
                  <c:v>2.0316999639270188</c:v>
                </c:pt>
                <c:pt idx="12">
                  <c:v>-1.675538585002273</c:v>
                </c:pt>
                <c:pt idx="13">
                  <c:v>0.66365332997471638</c:v>
                </c:pt>
                <c:pt idx="14">
                  <c:v>-6.0660332268881518</c:v>
                </c:pt>
                <c:pt idx="15">
                  <c:v>-1.175620502848872</c:v>
                </c:pt>
                <c:pt idx="16">
                  <c:v>-3.4508240671021977E-2</c:v>
                </c:pt>
                <c:pt idx="17">
                  <c:v>2.2939672308944359</c:v>
                </c:pt>
                <c:pt idx="18">
                  <c:v>3.2760529504953162</c:v>
                </c:pt>
                <c:pt idx="19">
                  <c:v>-0.97963061385552541</c:v>
                </c:pt>
                <c:pt idx="20">
                  <c:v>2.2040425097143679</c:v>
                </c:pt>
                <c:pt idx="21">
                  <c:v>-0.64229782871214769</c:v>
                </c:pt>
                <c:pt idx="22">
                  <c:v>3.1665845996154531</c:v>
                </c:pt>
                <c:pt idx="23">
                  <c:v>0.38923682022893241</c:v>
                </c:pt>
                <c:pt idx="24">
                  <c:v>1.8126718481666091</c:v>
                </c:pt>
                <c:pt idx="25">
                  <c:v>-1.625252075486582</c:v>
                </c:pt>
                <c:pt idx="26">
                  <c:v>-4.0536556486157078</c:v>
                </c:pt>
                <c:pt idx="27">
                  <c:v>1.749869028749087</c:v>
                </c:pt>
                <c:pt idx="28">
                  <c:v>2.6185434192063868</c:v>
                </c:pt>
                <c:pt idx="29">
                  <c:v>1.262962285715753</c:v>
                </c:pt>
                <c:pt idx="30">
                  <c:v>-4.3052252053774209</c:v>
                </c:pt>
                <c:pt idx="31">
                  <c:v>0.26802381149155668</c:v>
                </c:pt>
                <c:pt idx="32">
                  <c:v>1.2379457498064199</c:v>
                </c:pt>
                <c:pt idx="33">
                  <c:v>1.4402047801391</c:v>
                </c:pt>
                <c:pt idx="34">
                  <c:v>-4.2273942810590226</c:v>
                </c:pt>
                <c:pt idx="35">
                  <c:v>2.2011405449137409</c:v>
                </c:pt>
                <c:pt idx="36">
                  <c:v>3.117327929523352</c:v>
                </c:pt>
                <c:pt idx="37">
                  <c:v>-1.8950969952612171</c:v>
                </c:pt>
                <c:pt idx="38">
                  <c:v>1.576975455349519</c:v>
                </c:pt>
                <c:pt idx="39">
                  <c:v>1.2228554307335511</c:v>
                </c:pt>
                <c:pt idx="40">
                  <c:v>-3.9367303165038212</c:v>
                </c:pt>
                <c:pt idx="41">
                  <c:v>-3.4044325645892162</c:v>
                </c:pt>
              </c:numCache>
            </c:numRef>
          </c:xVal>
          <c:yVal>
            <c:numRef>
              <c:f>'Lake+Species'!$F$2:$F$43</c:f>
              <c:numCache>
                <c:formatCode>0.000</c:formatCode>
                <c:ptCount val="42"/>
                <c:pt idx="0">
                  <c:v>765.16</c:v>
                </c:pt>
                <c:pt idx="1">
                  <c:v>449.53999999999996</c:v>
                </c:pt>
                <c:pt idx="2">
                  <c:v>579.30999999999995</c:v>
                </c:pt>
                <c:pt idx="3">
                  <c:v>1950.88</c:v>
                </c:pt>
                <c:pt idx="4">
                  <c:v>2159.0500000000006</c:v>
                </c:pt>
                <c:pt idx="5">
                  <c:v>365.07</c:v>
                </c:pt>
                <c:pt idx="6">
                  <c:v>1013.41</c:v>
                </c:pt>
                <c:pt idx="7">
                  <c:v>685.6</c:v>
                </c:pt>
                <c:pt idx="8">
                  <c:v>481.70498358984167</c:v>
                </c:pt>
                <c:pt idx="9">
                  <c:v>1123.05</c:v>
                </c:pt>
                <c:pt idx="10">
                  <c:v>1041.1658649176286</c:v>
                </c:pt>
                <c:pt idx="11">
                  <c:v>446.23</c:v>
                </c:pt>
                <c:pt idx="12">
                  <c:v>1358.8899999999999</c:v>
                </c:pt>
                <c:pt idx="13">
                  <c:v>207.19713779128674</c:v>
                </c:pt>
                <c:pt idx="14">
                  <c:v>2816.67</c:v>
                </c:pt>
                <c:pt idx="15">
                  <c:v>2170.6999999999998</c:v>
                </c:pt>
                <c:pt idx="16">
                  <c:v>3686.3</c:v>
                </c:pt>
                <c:pt idx="17">
                  <c:v>347.67</c:v>
                </c:pt>
                <c:pt idx="18">
                  <c:v>745.30161776802856</c:v>
                </c:pt>
                <c:pt idx="19">
                  <c:v>538</c:v>
                </c:pt>
                <c:pt idx="20">
                  <c:v>363.8077083</c:v>
                </c:pt>
                <c:pt idx="21">
                  <c:v>475.23999999999995</c:v>
                </c:pt>
                <c:pt idx="22">
                  <c:v>304.61125457738979</c:v>
                </c:pt>
                <c:pt idx="23">
                  <c:v>635.56999999999994</c:v>
                </c:pt>
                <c:pt idx="24">
                  <c:v>2547.5</c:v>
                </c:pt>
                <c:pt idx="25">
                  <c:v>2204.0700000000002</c:v>
                </c:pt>
                <c:pt idx="26">
                  <c:v>660.06000000000006</c:v>
                </c:pt>
                <c:pt idx="27">
                  <c:v>660.31428570473315</c:v>
                </c:pt>
                <c:pt idx="28">
                  <c:v>301.31982343499203</c:v>
                </c:pt>
                <c:pt idx="29">
                  <c:v>717.29</c:v>
                </c:pt>
                <c:pt idx="30">
                  <c:v>337.61</c:v>
                </c:pt>
                <c:pt idx="31">
                  <c:v>689.66642036124802</c:v>
                </c:pt>
                <c:pt idx="32">
                  <c:v>211.78999999999996</c:v>
                </c:pt>
                <c:pt idx="33">
                  <c:v>362.13000000000005</c:v>
                </c:pt>
                <c:pt idx="34">
                  <c:v>4109.55</c:v>
                </c:pt>
                <c:pt idx="35">
                  <c:v>995.34</c:v>
                </c:pt>
                <c:pt idx="36">
                  <c:v>503.52455066054324</c:v>
                </c:pt>
                <c:pt idx="37">
                  <c:v>1251.1799999999998</c:v>
                </c:pt>
                <c:pt idx="38">
                  <c:v>762.45</c:v>
                </c:pt>
                <c:pt idx="39">
                  <c:v>488.18999999999994</c:v>
                </c:pt>
                <c:pt idx="40">
                  <c:v>624.42000000000007</c:v>
                </c:pt>
                <c:pt idx="41">
                  <c:v>1970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D4-4B36-BD7F-3AFB51275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9007"/>
        <c:axId val="14549967"/>
      </c:scatterChart>
      <c:valAx>
        <c:axId val="14549007"/>
        <c:scaling>
          <c:orientation val="minMax"/>
          <c:min val="-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200"/>
                  <a:t>PC1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9967"/>
        <c:crosses val="autoZero"/>
        <c:crossBetween val="midCat"/>
      </c:valAx>
      <c:valAx>
        <c:axId val="14549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Relative_CPUE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9007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271875</xdr:colOff>
      <xdr:row>61</xdr:row>
      <xdr:rowOff>10144</xdr:rowOff>
    </xdr:from>
    <xdr:to>
      <xdr:col>7</xdr:col>
      <xdr:colOff>285748</xdr:colOff>
      <xdr:row>76</xdr:row>
      <xdr:rowOff>20127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72FA4-EF6E-FF9B-A64F-0B3708FEB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271463</xdr:colOff>
      <xdr:row>45</xdr:row>
      <xdr:rowOff>4758</xdr:rowOff>
    </xdr:from>
    <xdr:to>
      <xdr:col>31</xdr:col>
      <xdr:colOff>592758</xdr:colOff>
      <xdr:row>57</xdr:row>
      <xdr:rowOff>36646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1F1A76-A76B-4902-A53A-54FB5F40F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509588</xdr:colOff>
      <xdr:row>45</xdr:row>
      <xdr:rowOff>4758</xdr:rowOff>
    </xdr:from>
    <xdr:to>
      <xdr:col>39</xdr:col>
      <xdr:colOff>6971</xdr:colOff>
      <xdr:row>57</xdr:row>
      <xdr:rowOff>36646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12AAAE-B196-4F86-9EBE-B5C9CE797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371475</xdr:colOff>
      <xdr:row>45</xdr:row>
      <xdr:rowOff>4762</xdr:rowOff>
    </xdr:from>
    <xdr:to>
      <xdr:col>45</xdr:col>
      <xdr:colOff>692770</xdr:colOff>
      <xdr:row>57</xdr:row>
      <xdr:rowOff>36650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688DF7-AF89-4020-AF0E-262D82CA7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490537</xdr:colOff>
      <xdr:row>45</xdr:row>
      <xdr:rowOff>0</xdr:rowOff>
    </xdr:from>
    <xdr:to>
      <xdr:col>52</xdr:col>
      <xdr:colOff>811832</xdr:colOff>
      <xdr:row>57</xdr:row>
      <xdr:rowOff>31888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51A340-3049-4036-9573-96B11B1C5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55</xdr:col>
      <xdr:colOff>447676</xdr:colOff>
      <xdr:row>45</xdr:row>
      <xdr:rowOff>4762</xdr:rowOff>
    </xdr:from>
    <xdr:to>
      <xdr:col>59</xdr:col>
      <xdr:colOff>768971</xdr:colOff>
      <xdr:row>57</xdr:row>
      <xdr:rowOff>36650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834C3E-7F25-465F-A256-9B94031B8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69</xdr:col>
      <xdr:colOff>504825</xdr:colOff>
      <xdr:row>45</xdr:row>
      <xdr:rowOff>4762</xdr:rowOff>
    </xdr:from>
    <xdr:to>
      <xdr:col>74</xdr:col>
      <xdr:colOff>2208</xdr:colOff>
      <xdr:row>57</xdr:row>
      <xdr:rowOff>36650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F36CF0-ECE7-4CF9-96A2-1ECF28BBB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76</xdr:col>
      <xdr:colOff>400051</xdr:colOff>
      <xdr:row>45</xdr:row>
      <xdr:rowOff>4763</xdr:rowOff>
    </xdr:from>
    <xdr:to>
      <xdr:col>80</xdr:col>
      <xdr:colOff>721346</xdr:colOff>
      <xdr:row>57</xdr:row>
      <xdr:rowOff>36651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376456-9D47-477E-A251-201650FC2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83</xdr:col>
      <xdr:colOff>433387</xdr:colOff>
      <xdr:row>45</xdr:row>
      <xdr:rowOff>4762</xdr:rowOff>
    </xdr:from>
    <xdr:to>
      <xdr:col>87</xdr:col>
      <xdr:colOff>754682</xdr:colOff>
      <xdr:row>57</xdr:row>
      <xdr:rowOff>36650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66B2C0-68CB-4FBB-85C8-11975F309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90</xdr:col>
      <xdr:colOff>376238</xdr:colOff>
      <xdr:row>45</xdr:row>
      <xdr:rowOff>0</xdr:rowOff>
    </xdr:from>
    <xdr:to>
      <xdr:col>94</xdr:col>
      <xdr:colOff>697533</xdr:colOff>
      <xdr:row>57</xdr:row>
      <xdr:rowOff>31888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2AD4EE2-38A1-4DF5-B60C-14C784125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97</xdr:col>
      <xdr:colOff>371474</xdr:colOff>
      <xdr:row>45</xdr:row>
      <xdr:rowOff>0</xdr:rowOff>
    </xdr:from>
    <xdr:to>
      <xdr:col>101</xdr:col>
      <xdr:colOff>692769</xdr:colOff>
      <xdr:row>57</xdr:row>
      <xdr:rowOff>31888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23CA3B-BFD1-43A1-BE81-F16E95125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104</xdr:col>
      <xdr:colOff>171451</xdr:colOff>
      <xdr:row>44</xdr:row>
      <xdr:rowOff>176212</xdr:rowOff>
    </xdr:from>
    <xdr:to>
      <xdr:col>108</xdr:col>
      <xdr:colOff>492746</xdr:colOff>
      <xdr:row>57</xdr:row>
      <xdr:rowOff>31887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DF0450-EA61-4D11-8BF2-00F10CDDD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110</xdr:col>
      <xdr:colOff>504827</xdr:colOff>
      <xdr:row>45</xdr:row>
      <xdr:rowOff>4762</xdr:rowOff>
    </xdr:from>
    <xdr:to>
      <xdr:col>115</xdr:col>
      <xdr:colOff>2209</xdr:colOff>
      <xdr:row>57</xdr:row>
      <xdr:rowOff>36650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359A203-211F-4278-886C-A8B322B15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118</xdr:col>
      <xdr:colOff>523875</xdr:colOff>
      <xdr:row>45</xdr:row>
      <xdr:rowOff>0</xdr:rowOff>
    </xdr:from>
    <xdr:to>
      <xdr:col>122</xdr:col>
      <xdr:colOff>811833</xdr:colOff>
      <xdr:row>57</xdr:row>
      <xdr:rowOff>31888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153DBB9-AF01-40FE-A9DF-E6A6BF685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132</xdr:col>
      <xdr:colOff>0</xdr:colOff>
      <xdr:row>45</xdr:row>
      <xdr:rowOff>0</xdr:rowOff>
    </xdr:from>
    <xdr:to>
      <xdr:col>136</xdr:col>
      <xdr:colOff>321295</xdr:colOff>
      <xdr:row>57</xdr:row>
      <xdr:rowOff>31888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E3235FF-FFCE-44C9-9CE0-483C172C9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457199</xdr:colOff>
      <xdr:row>61</xdr:row>
      <xdr:rowOff>14287</xdr:rowOff>
    </xdr:from>
    <xdr:to>
      <xdr:col>13</xdr:col>
      <xdr:colOff>432973</xdr:colOff>
      <xdr:row>76</xdr:row>
      <xdr:rowOff>24270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9FB0E08-B9B9-4345-8366-A7841D8BB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576263</xdr:colOff>
      <xdr:row>61</xdr:row>
      <xdr:rowOff>4763</xdr:rowOff>
    </xdr:from>
    <xdr:to>
      <xdr:col>19</xdr:col>
      <xdr:colOff>99599</xdr:colOff>
      <xdr:row>76</xdr:row>
      <xdr:rowOff>14746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D9BDF42-162B-4586-BAD1-1FD6AB0A6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3"/>
  <sheetViews>
    <sheetView tabSelected="1" topLeftCell="A8" zoomScale="85" zoomScaleNormal="85" workbookViewId="0">
      <pane xSplit="1" topLeftCell="DP1" activePane="topRight" state="frozen"/>
      <selection pane="topRight" activeCell="DU33" sqref="DU33"/>
    </sheetView>
  </sheetViews>
  <sheetFormatPr defaultRowHeight="13.9"/>
  <cols>
    <col min="1" max="1" width="14.265625" style="10" bestFit="1" customWidth="1"/>
    <col min="2" max="2" width="7.265625" style="10" customWidth="1"/>
    <col min="3" max="3" width="11.53125" style="25" bestFit="1" customWidth="1"/>
    <col min="4" max="5" width="11.53125" style="10" bestFit="1" customWidth="1"/>
    <col min="6" max="6" width="8.46484375" style="10" customWidth="1"/>
    <col min="7" max="8" width="12" style="10" customWidth="1"/>
    <col min="9" max="9" width="11.53125" style="10" bestFit="1" customWidth="1"/>
    <col min="10" max="11" width="8.1328125" style="10" bestFit="1" customWidth="1"/>
    <col min="12" max="16" width="11.53125" style="10" bestFit="1" customWidth="1"/>
    <col min="17" max="17" width="11.53125" style="25" bestFit="1" customWidth="1"/>
    <col min="18" max="46" width="11.53125" style="10" bestFit="1" customWidth="1"/>
    <col min="47" max="47" width="11.53125" style="10" customWidth="1"/>
    <col min="48" max="117" width="11.53125" style="10" bestFit="1" customWidth="1"/>
    <col min="118" max="118" width="12" style="10" bestFit="1" customWidth="1"/>
    <col min="119" max="121" width="11.53125" style="10" bestFit="1" customWidth="1"/>
    <col min="122" max="122" width="12" style="10" bestFit="1" customWidth="1"/>
    <col min="123" max="137" width="11.53125" style="10" bestFit="1" customWidth="1"/>
    <col min="138" max="16384" width="9.06640625" style="10"/>
  </cols>
  <sheetData>
    <row r="1" spans="1:137" ht="156.4" customHeight="1">
      <c r="A1" s="1" t="s">
        <v>0</v>
      </c>
      <c r="B1" s="1" t="s">
        <v>1</v>
      </c>
      <c r="C1" s="1" t="s">
        <v>62</v>
      </c>
      <c r="D1" s="1" t="s">
        <v>61</v>
      </c>
      <c r="E1" s="1" t="s">
        <v>63</v>
      </c>
      <c r="F1" s="2" t="s">
        <v>163</v>
      </c>
      <c r="G1" s="2" t="s">
        <v>162</v>
      </c>
      <c r="H1" s="3" t="s">
        <v>179</v>
      </c>
      <c r="I1" s="3" t="s">
        <v>178</v>
      </c>
      <c r="J1" s="3" t="s">
        <v>64</v>
      </c>
      <c r="K1" s="3" t="s">
        <v>68</v>
      </c>
      <c r="L1" s="4" t="s">
        <v>66</v>
      </c>
      <c r="M1" s="4" t="s">
        <v>65</v>
      </c>
      <c r="N1" s="4" t="s">
        <v>67</v>
      </c>
      <c r="O1" s="5" t="s">
        <v>60</v>
      </c>
      <c r="P1" s="6" t="s">
        <v>70</v>
      </c>
      <c r="Q1" s="6" t="s">
        <v>176</v>
      </c>
      <c r="R1" s="6" t="s">
        <v>69</v>
      </c>
      <c r="S1" s="4" t="s">
        <v>72</v>
      </c>
      <c r="T1" s="4" t="s">
        <v>71</v>
      </c>
      <c r="U1" s="4" t="s">
        <v>92</v>
      </c>
      <c r="V1" s="5" t="s">
        <v>59</v>
      </c>
      <c r="W1" s="6" t="s">
        <v>159</v>
      </c>
      <c r="X1" s="6" t="s">
        <v>177</v>
      </c>
      <c r="Y1" s="6" t="s">
        <v>160</v>
      </c>
      <c r="Z1" s="4" t="s">
        <v>93</v>
      </c>
      <c r="AA1" s="4" t="s">
        <v>164</v>
      </c>
      <c r="AB1" s="4" t="s">
        <v>94</v>
      </c>
      <c r="AC1" s="5" t="s">
        <v>44</v>
      </c>
      <c r="AD1" s="6" t="s">
        <v>95</v>
      </c>
      <c r="AE1" s="6" t="s">
        <v>76</v>
      </c>
      <c r="AF1" s="6" t="s">
        <v>96</v>
      </c>
      <c r="AG1" s="4" t="s">
        <v>97</v>
      </c>
      <c r="AH1" s="4" t="s">
        <v>165</v>
      </c>
      <c r="AI1" s="4" t="s">
        <v>98</v>
      </c>
      <c r="AJ1" s="5" t="s">
        <v>45</v>
      </c>
      <c r="AK1" s="6" t="s">
        <v>99</v>
      </c>
      <c r="AL1" s="6" t="s">
        <v>77</v>
      </c>
      <c r="AM1" s="6" t="s">
        <v>100</v>
      </c>
      <c r="AN1" s="4" t="s">
        <v>101</v>
      </c>
      <c r="AO1" s="4" t="s">
        <v>166</v>
      </c>
      <c r="AP1" s="4" t="s">
        <v>102</v>
      </c>
      <c r="AQ1" s="5" t="s">
        <v>46</v>
      </c>
      <c r="AR1" s="6" t="s">
        <v>103</v>
      </c>
      <c r="AS1" s="6" t="s">
        <v>78</v>
      </c>
      <c r="AT1" s="6" t="s">
        <v>104</v>
      </c>
      <c r="AU1" s="4" t="s">
        <v>106</v>
      </c>
      <c r="AV1" s="4" t="s">
        <v>105</v>
      </c>
      <c r="AW1" s="4" t="s">
        <v>107</v>
      </c>
      <c r="AX1" s="5" t="s">
        <v>47</v>
      </c>
      <c r="AY1" s="6" t="s">
        <v>108</v>
      </c>
      <c r="AZ1" s="6" t="s">
        <v>79</v>
      </c>
      <c r="BA1" s="6" t="s">
        <v>109</v>
      </c>
      <c r="BB1" s="4" t="s">
        <v>110</v>
      </c>
      <c r="BC1" s="4" t="s">
        <v>167</v>
      </c>
      <c r="BD1" s="4" t="s">
        <v>111</v>
      </c>
      <c r="BE1" s="5" t="s">
        <v>48</v>
      </c>
      <c r="BF1" s="6" t="s">
        <v>112</v>
      </c>
      <c r="BG1" s="6" t="s">
        <v>80</v>
      </c>
      <c r="BH1" s="6" t="s">
        <v>113</v>
      </c>
      <c r="BI1" s="4" t="s">
        <v>114</v>
      </c>
      <c r="BJ1" s="4" t="s">
        <v>168</v>
      </c>
      <c r="BK1" s="4" t="s">
        <v>115</v>
      </c>
      <c r="BL1" s="5" t="s">
        <v>49</v>
      </c>
      <c r="BM1" s="6" t="s">
        <v>116</v>
      </c>
      <c r="BN1" s="6" t="s">
        <v>81</v>
      </c>
      <c r="BO1" s="6" t="s">
        <v>117</v>
      </c>
      <c r="BP1" s="4" t="s">
        <v>118</v>
      </c>
      <c r="BQ1" s="4" t="s">
        <v>169</v>
      </c>
      <c r="BR1" s="4" t="s">
        <v>119</v>
      </c>
      <c r="BS1" s="5" t="s">
        <v>50</v>
      </c>
      <c r="BT1" s="6" t="s">
        <v>120</v>
      </c>
      <c r="BU1" s="6" t="s">
        <v>82</v>
      </c>
      <c r="BV1" s="6" t="s">
        <v>121</v>
      </c>
      <c r="BW1" s="4" t="s">
        <v>122</v>
      </c>
      <c r="BX1" s="4" t="s">
        <v>170</v>
      </c>
      <c r="BY1" s="4" t="s">
        <v>123</v>
      </c>
      <c r="BZ1" s="5" t="s">
        <v>51</v>
      </c>
      <c r="CA1" s="6" t="s">
        <v>124</v>
      </c>
      <c r="CB1" s="6" t="s">
        <v>83</v>
      </c>
      <c r="CC1" s="6" t="s">
        <v>125</v>
      </c>
      <c r="CD1" s="4" t="s">
        <v>127</v>
      </c>
      <c r="CE1" s="4" t="s">
        <v>171</v>
      </c>
      <c r="CF1" s="4" t="s">
        <v>128</v>
      </c>
      <c r="CG1" s="5" t="s">
        <v>126</v>
      </c>
      <c r="CH1" s="6" t="s">
        <v>129</v>
      </c>
      <c r="CI1" s="6" t="s">
        <v>84</v>
      </c>
      <c r="CJ1" s="6" t="s">
        <v>130</v>
      </c>
      <c r="CK1" s="4" t="s">
        <v>131</v>
      </c>
      <c r="CL1" s="4" t="s">
        <v>172</v>
      </c>
      <c r="CM1" s="4" t="s">
        <v>132</v>
      </c>
      <c r="CN1" s="5" t="s">
        <v>52</v>
      </c>
      <c r="CO1" s="6" t="s">
        <v>133</v>
      </c>
      <c r="CP1" s="6" t="s">
        <v>85</v>
      </c>
      <c r="CQ1" s="6" t="s">
        <v>134</v>
      </c>
      <c r="CR1" s="4" t="s">
        <v>135</v>
      </c>
      <c r="CS1" s="4" t="s">
        <v>173</v>
      </c>
      <c r="CT1" s="4" t="s">
        <v>136</v>
      </c>
      <c r="CU1" s="5" t="s">
        <v>53</v>
      </c>
      <c r="CV1" s="6" t="s">
        <v>137</v>
      </c>
      <c r="CW1" s="6" t="s">
        <v>86</v>
      </c>
      <c r="CX1" s="6" t="s">
        <v>138</v>
      </c>
      <c r="CY1" s="4" t="s">
        <v>139</v>
      </c>
      <c r="CZ1" s="4" t="s">
        <v>174</v>
      </c>
      <c r="DA1" s="4" t="s">
        <v>140</v>
      </c>
      <c r="DB1" s="5" t="s">
        <v>54</v>
      </c>
      <c r="DC1" s="6" t="s">
        <v>141</v>
      </c>
      <c r="DD1" s="6" t="s">
        <v>87</v>
      </c>
      <c r="DE1" s="6" t="s">
        <v>142</v>
      </c>
      <c r="DF1" s="4" t="s">
        <v>143</v>
      </c>
      <c r="DG1" s="4" t="s">
        <v>175</v>
      </c>
      <c r="DH1" s="4" t="s">
        <v>144</v>
      </c>
      <c r="DI1" s="5" t="s">
        <v>55</v>
      </c>
      <c r="DJ1" s="6" t="s">
        <v>145</v>
      </c>
      <c r="DK1" s="6" t="s">
        <v>88</v>
      </c>
      <c r="DL1" s="6" t="s">
        <v>146</v>
      </c>
      <c r="DM1" s="4" t="s">
        <v>155</v>
      </c>
      <c r="DN1" s="4" t="s">
        <v>73</v>
      </c>
      <c r="DO1" s="4" t="s">
        <v>156</v>
      </c>
      <c r="DP1" s="5" t="s">
        <v>56</v>
      </c>
      <c r="DQ1" s="6" t="s">
        <v>157</v>
      </c>
      <c r="DR1" s="6" t="s">
        <v>89</v>
      </c>
      <c r="DS1" s="6" t="s">
        <v>158</v>
      </c>
      <c r="DT1" s="4" t="s">
        <v>151</v>
      </c>
      <c r="DU1" s="4" t="s">
        <v>74</v>
      </c>
      <c r="DV1" s="4" t="s">
        <v>152</v>
      </c>
      <c r="DW1" s="5" t="s">
        <v>57</v>
      </c>
      <c r="DX1" s="6" t="s">
        <v>153</v>
      </c>
      <c r="DY1" s="6" t="s">
        <v>90</v>
      </c>
      <c r="DZ1" s="6" t="s">
        <v>154</v>
      </c>
      <c r="EA1" s="4" t="s">
        <v>147</v>
      </c>
      <c r="EB1" s="4" t="s">
        <v>75</v>
      </c>
      <c r="EC1" s="4" t="s">
        <v>148</v>
      </c>
      <c r="ED1" s="7" t="s">
        <v>58</v>
      </c>
      <c r="EE1" s="6" t="s">
        <v>149</v>
      </c>
      <c r="EF1" s="6" t="s">
        <v>91</v>
      </c>
      <c r="EG1" s="6" t="s">
        <v>150</v>
      </c>
    </row>
    <row r="2" spans="1:137">
      <c r="A2" s="8" t="s">
        <v>2</v>
      </c>
      <c r="B2" s="9">
        <v>-1.1710702460521889</v>
      </c>
      <c r="C2" s="27">
        <v>7.3505630399800202E-3</v>
      </c>
      <c r="D2" s="27">
        <v>3.5880109429791501E-2</v>
      </c>
      <c r="E2" s="27">
        <v>0.16135870154695539</v>
      </c>
      <c r="F2" s="11">
        <v>765.16</v>
      </c>
      <c r="G2" s="12">
        <v>1272.6300000000001</v>
      </c>
      <c r="H2" s="13">
        <f>G2*D2</f>
        <v>45.662103663635563</v>
      </c>
      <c r="I2" s="13">
        <f>F2*C2</f>
        <v>5.6243568156711117</v>
      </c>
      <c r="J2" s="14">
        <f>F2*D2</f>
        <v>27.454024531299265</v>
      </c>
      <c r="K2" s="14">
        <f>F2*E2</f>
        <v>123.46522407566839</v>
      </c>
      <c r="L2" s="15"/>
      <c r="M2" s="9"/>
      <c r="N2" s="15"/>
      <c r="O2" s="12"/>
      <c r="P2" s="13"/>
      <c r="Q2" s="13"/>
      <c r="R2" s="13"/>
      <c r="S2" s="15"/>
      <c r="T2" s="15"/>
      <c r="U2" s="15"/>
      <c r="V2" s="12"/>
      <c r="W2" s="13"/>
      <c r="X2" s="13"/>
      <c r="Y2" s="13"/>
      <c r="Z2" s="27">
        <v>1.042830255278528E-2</v>
      </c>
      <c r="AA2" s="27">
        <v>4.6819836715760503E-2</v>
      </c>
      <c r="AB2" s="27">
        <v>0.10980093723880879</v>
      </c>
      <c r="AC2" s="12">
        <v>52.66</v>
      </c>
      <c r="AD2" s="13">
        <f>Z2*AC2</f>
        <v>0.54915441242967278</v>
      </c>
      <c r="AE2" s="13">
        <f>AC2*AA2</f>
        <v>2.4655326014519479</v>
      </c>
      <c r="AF2" s="13">
        <f>AC2*AB2</f>
        <v>5.7821173549956706</v>
      </c>
      <c r="AG2" s="15"/>
      <c r="AH2" s="15"/>
      <c r="AI2" s="15"/>
      <c r="AJ2" s="12"/>
      <c r="AK2" s="13"/>
      <c r="AL2" s="13"/>
      <c r="AM2" s="13"/>
      <c r="AN2" s="15"/>
      <c r="AO2" s="15"/>
      <c r="AP2" s="15"/>
      <c r="AQ2" s="12"/>
      <c r="AR2" s="13"/>
      <c r="AS2" s="13"/>
      <c r="AT2" s="13"/>
      <c r="AU2" s="15"/>
      <c r="AV2" s="15"/>
      <c r="AW2" s="15"/>
      <c r="AX2" s="12"/>
      <c r="AY2" s="13"/>
      <c r="AZ2" s="13"/>
      <c r="BA2" s="13"/>
      <c r="BB2" s="15"/>
      <c r="BC2" s="15"/>
      <c r="BD2" s="15"/>
      <c r="BE2" s="12"/>
      <c r="BF2" s="13"/>
      <c r="BG2" s="13"/>
      <c r="BH2" s="13"/>
      <c r="BI2" s="15"/>
      <c r="BJ2" s="15"/>
      <c r="BK2" s="15"/>
      <c r="BL2" s="12"/>
      <c r="BM2" s="13"/>
      <c r="BN2" s="13"/>
      <c r="BO2" s="13"/>
      <c r="BP2" s="15"/>
      <c r="BQ2" s="15"/>
      <c r="BR2" s="15"/>
      <c r="BS2" s="12"/>
      <c r="BT2" s="13"/>
      <c r="BU2" s="13"/>
      <c r="BV2" s="13"/>
      <c r="BW2" s="15"/>
      <c r="BX2" s="15"/>
      <c r="BY2" s="15"/>
      <c r="BZ2" s="12"/>
      <c r="CA2" s="13"/>
      <c r="CB2" s="13"/>
      <c r="CC2" s="13"/>
      <c r="CD2" s="27">
        <v>6.6033873125566876E-3</v>
      </c>
      <c r="CE2" s="27">
        <v>3.068007586368213E-2</v>
      </c>
      <c r="CF2" s="27">
        <v>7.1976567569652372E-2</v>
      </c>
      <c r="CG2" s="12">
        <v>367.59</v>
      </c>
      <c r="CH2" s="13">
        <f>CD2*CG2</f>
        <v>2.4273391422227126</v>
      </c>
      <c r="CI2" s="13">
        <f>CG2*CE2</f>
        <v>11.277689086730913</v>
      </c>
      <c r="CJ2" s="13">
        <f>CG2*CF2</f>
        <v>26.457866472928515</v>
      </c>
      <c r="CK2" s="27">
        <v>2.6008592721459809E-2</v>
      </c>
      <c r="CL2" s="27">
        <v>0.10569518963097629</v>
      </c>
      <c r="CM2" s="27">
        <v>0.21927296486222839</v>
      </c>
      <c r="CN2" s="12">
        <v>80.040000000000006</v>
      </c>
      <c r="CO2" s="13">
        <f>CK2*CN2</f>
        <v>2.0817277614256433</v>
      </c>
      <c r="CP2" s="13">
        <f>CN2*CL2</f>
        <v>8.4598429780633424</v>
      </c>
      <c r="CQ2" s="13">
        <f>CN2*CM2</f>
        <v>17.55060810757276</v>
      </c>
      <c r="CR2" s="16"/>
      <c r="CS2" s="16"/>
      <c r="CT2" s="16"/>
      <c r="CU2" s="16">
        <v>43.91</v>
      </c>
      <c r="CV2" s="16"/>
      <c r="CW2" s="16"/>
      <c r="CX2" s="16"/>
      <c r="CY2" s="27">
        <v>6.1467748962759248E-3</v>
      </c>
      <c r="CZ2" s="27">
        <v>2.787109075684847E-2</v>
      </c>
      <c r="DA2" s="27">
        <v>6.4600831537618184E-2</v>
      </c>
      <c r="DB2" s="12">
        <v>214.09</v>
      </c>
      <c r="DC2" s="13">
        <f>CY2*DB2</f>
        <v>1.3159630375437128</v>
      </c>
      <c r="DD2" s="13">
        <f>DB2*CZ2</f>
        <v>5.9669218201336891</v>
      </c>
      <c r="DE2" s="13">
        <f>DB2*DA2</f>
        <v>13.830392023888677</v>
      </c>
      <c r="DF2" s="27">
        <v>2.409331655359E-2</v>
      </c>
      <c r="DG2" s="27">
        <v>0.1004170847075096</v>
      </c>
      <c r="DH2" s="27">
        <v>0.20582322551887219</v>
      </c>
      <c r="DI2" s="12">
        <v>36.47</v>
      </c>
      <c r="DJ2" s="13">
        <f>DF2*DI2</f>
        <v>0.87868325470942732</v>
      </c>
      <c r="DK2" s="13">
        <f>DI2*DG2</f>
        <v>3.662211079282875</v>
      </c>
      <c r="DL2" s="13">
        <f>DI2*DH2</f>
        <v>7.5063730346732687</v>
      </c>
      <c r="DM2" s="15"/>
      <c r="DN2" s="15"/>
      <c r="DO2" s="15"/>
      <c r="DP2" s="12"/>
      <c r="DQ2" s="13"/>
      <c r="DR2" s="13"/>
      <c r="DS2" s="13"/>
      <c r="DW2" s="12"/>
      <c r="DX2" s="13"/>
      <c r="DY2" s="13"/>
      <c r="DZ2" s="13"/>
      <c r="EA2" s="27">
        <v>6.7522754514086633E-3</v>
      </c>
      <c r="EB2" s="27">
        <v>3.1520487553236387E-2</v>
      </c>
      <c r="EC2" s="27">
        <v>7.9545368467604474E-2</v>
      </c>
      <c r="ED2" s="12">
        <v>14.31</v>
      </c>
      <c r="EE2" s="13">
        <f>EA2*ED2</f>
        <v>9.6625061709657969E-2</v>
      </c>
      <c r="EF2" s="13">
        <f>ED2*EB2</f>
        <v>0.45105817688681271</v>
      </c>
      <c r="EG2" s="13">
        <f>ED2*EC2</f>
        <v>1.1382942227714201</v>
      </c>
    </row>
    <row r="3" spans="1:137">
      <c r="A3" s="8" t="s">
        <v>3</v>
      </c>
      <c r="B3" s="9">
        <v>2.9172268138024711</v>
      </c>
      <c r="C3" s="27">
        <v>0.42482110175723958</v>
      </c>
      <c r="D3" s="27">
        <v>0.59419417239058492</v>
      </c>
      <c r="E3" s="27">
        <v>0.86281401299415594</v>
      </c>
      <c r="F3" s="11">
        <v>449.53999999999996</v>
      </c>
      <c r="G3" s="12">
        <v>461.34</v>
      </c>
      <c r="H3" s="13">
        <f t="shared" ref="H3:H43" si="0">G3*D3</f>
        <v>274.12553949067245</v>
      </c>
      <c r="I3" s="13">
        <f t="shared" ref="I3:I43" si="1">F3*C3</f>
        <v>190.97407808394948</v>
      </c>
      <c r="J3" s="14">
        <f t="shared" ref="J3:J43" si="2">F3*D3</f>
        <v>267.11404825646355</v>
      </c>
      <c r="K3" s="14">
        <f t="shared" ref="K3:K43" si="3">F3*E3</f>
        <v>387.86941140139282</v>
      </c>
      <c r="L3" s="15"/>
      <c r="M3" s="9"/>
      <c r="N3" s="15"/>
      <c r="O3" s="12"/>
      <c r="P3" s="13"/>
      <c r="Q3" s="13"/>
      <c r="R3" s="13"/>
      <c r="S3" s="15"/>
      <c r="T3" s="15"/>
      <c r="U3" s="15"/>
      <c r="V3" s="12"/>
      <c r="W3" s="13"/>
      <c r="X3" s="13"/>
      <c r="Y3" s="13"/>
      <c r="Z3" s="27">
        <v>0.52192115389340954</v>
      </c>
      <c r="AA3" s="27">
        <v>0.63806021740477392</v>
      </c>
      <c r="AB3" s="27">
        <v>0.72759791237650606</v>
      </c>
      <c r="AC3" s="12">
        <v>5.38</v>
      </c>
      <c r="AD3" s="13">
        <f t="shared" ref="AD3:AD8" si="4">Z3*AC3</f>
        <v>2.8079358079465431</v>
      </c>
      <c r="AE3" s="13">
        <f>AC3*AA3</f>
        <v>3.4327639696376835</v>
      </c>
      <c r="AF3" s="13">
        <f t="shared" ref="AF3:AF43" si="5">AC3*AB3</f>
        <v>3.9144767685856023</v>
      </c>
      <c r="AG3" s="15"/>
      <c r="AH3" s="15"/>
      <c r="AI3" s="15"/>
      <c r="AJ3" s="12"/>
      <c r="AK3" s="13"/>
      <c r="AL3" s="13"/>
      <c r="AM3" s="13"/>
      <c r="AN3" s="15"/>
      <c r="AO3" s="15"/>
      <c r="AP3" s="15"/>
      <c r="AQ3" s="12"/>
      <c r="AR3" s="13"/>
      <c r="AS3" s="13"/>
      <c r="AT3" s="13"/>
      <c r="AU3" s="15"/>
      <c r="AV3" s="15"/>
      <c r="AW3" s="15"/>
      <c r="AX3" s="12"/>
      <c r="AY3" s="13"/>
      <c r="AZ3" s="13"/>
      <c r="BA3" s="13"/>
      <c r="BB3" s="15"/>
      <c r="BC3" s="15"/>
      <c r="BD3" s="15"/>
      <c r="BE3" s="12"/>
      <c r="BF3" s="13"/>
      <c r="BG3" s="13"/>
      <c r="BH3" s="13"/>
      <c r="BI3" s="15"/>
      <c r="BJ3" s="15"/>
      <c r="BK3" s="15"/>
      <c r="BL3" s="12"/>
      <c r="BM3" s="13"/>
      <c r="BN3" s="13"/>
      <c r="BO3" s="13"/>
      <c r="BP3" s="15"/>
      <c r="BQ3" s="15"/>
      <c r="BR3" s="15"/>
      <c r="BS3" s="12"/>
      <c r="BT3" s="13"/>
      <c r="BU3" s="13"/>
      <c r="BV3" s="13"/>
      <c r="BW3" s="15"/>
      <c r="BX3" s="15"/>
      <c r="BY3" s="15"/>
      <c r="BZ3" s="12"/>
      <c r="CA3" s="13"/>
      <c r="CB3" s="13"/>
      <c r="CC3" s="13"/>
      <c r="CD3" s="27">
        <v>0.42132437185943578</v>
      </c>
      <c r="CE3" s="27">
        <v>0.53001125516454284</v>
      </c>
      <c r="CF3" s="27">
        <v>0.62230855512975136</v>
      </c>
      <c r="CG3" s="12">
        <v>174.95</v>
      </c>
      <c r="CH3" s="13">
        <f t="shared" ref="CH3:CH43" si="6">CD3*CG3</f>
        <v>73.710698856808278</v>
      </c>
      <c r="CI3" s="13">
        <f t="shared" ref="CI3:CI43" si="7">CG3*CE3</f>
        <v>92.725469091036757</v>
      </c>
      <c r="CJ3" s="13">
        <f t="shared" ref="CJ3:CJ43" si="8">CG3*CF3</f>
        <v>108.87288171994999</v>
      </c>
      <c r="CK3" s="27">
        <v>0.73383581975219436</v>
      </c>
      <c r="CL3" s="27">
        <v>0.80792433545328735</v>
      </c>
      <c r="CM3" s="27">
        <v>0.86316965828457459</v>
      </c>
      <c r="CN3" s="12">
        <v>192.75</v>
      </c>
      <c r="CO3" s="13">
        <f t="shared" ref="CO3:CO43" si="9">CK3*CN3</f>
        <v>141.44685425723546</v>
      </c>
      <c r="CP3" s="13">
        <f t="shared" ref="CP3:CP43" si="10">CN3*CL3</f>
        <v>155.72741565862114</v>
      </c>
      <c r="CQ3" s="13">
        <f t="shared" ref="CQ3:CQ43" si="11">CN3*CM3</f>
        <v>166.37595163435176</v>
      </c>
      <c r="CR3" s="27">
        <v>0.7887302592878207</v>
      </c>
      <c r="CS3" s="27">
        <v>0.85298186215707972</v>
      </c>
      <c r="CT3" s="27">
        <v>0.8975957166328552</v>
      </c>
      <c r="CU3" s="12">
        <v>12.07</v>
      </c>
      <c r="CV3" s="13">
        <f t="shared" ref="CV3:CV43" si="12">CR3*CU3</f>
        <v>9.5199742296039958</v>
      </c>
      <c r="CW3" s="13">
        <f>CU3*CS3</f>
        <v>10.295491076235953</v>
      </c>
      <c r="CX3" s="13">
        <f>CU3*CT3</f>
        <v>10.833980299758563</v>
      </c>
      <c r="CY3" s="27">
        <v>0.39447397056380068</v>
      </c>
      <c r="CZ3" s="27">
        <v>0.50254642552875273</v>
      </c>
      <c r="DA3" s="27">
        <v>0.59807764255418649</v>
      </c>
      <c r="DB3" s="12">
        <v>53.23</v>
      </c>
      <c r="DC3" s="13">
        <f t="shared" ref="DC3:DC43" si="13">CY3*DB3</f>
        <v>20.997849453111108</v>
      </c>
      <c r="DD3" s="13">
        <f t="shared" ref="DD3:DD43" si="14">DB3*CZ3</f>
        <v>26.750546230895505</v>
      </c>
      <c r="DE3" s="13">
        <f t="shared" ref="DE3:DE43" si="15">DB3*DA3</f>
        <v>31.835672913159346</v>
      </c>
      <c r="DF3" s="27">
        <v>0.71631147394731598</v>
      </c>
      <c r="DG3" s="27">
        <v>0.79709921654053861</v>
      </c>
      <c r="DH3" s="27">
        <v>0.85398182353136365</v>
      </c>
      <c r="DI3" s="12">
        <v>5.63</v>
      </c>
      <c r="DJ3" s="13">
        <f t="shared" ref="DJ3:DJ43" si="16">DF3*DI3</f>
        <v>4.0328335983233892</v>
      </c>
      <c r="DK3" s="13">
        <f t="shared" ref="DK3:DK43" si="17">DI3*DG3</f>
        <v>4.4876685891232322</v>
      </c>
      <c r="DL3" s="13">
        <f t="shared" ref="DL3:DL43" si="18">DI3*DH3</f>
        <v>4.8079176664815773</v>
      </c>
      <c r="DM3" s="15"/>
      <c r="DN3" s="15"/>
      <c r="DO3" s="15"/>
      <c r="DP3" s="12"/>
      <c r="DQ3" s="13"/>
      <c r="DR3" s="13"/>
      <c r="DS3" s="13"/>
      <c r="DW3" s="12"/>
      <c r="DX3" s="13"/>
      <c r="DY3" s="13"/>
      <c r="DZ3" s="13"/>
      <c r="EA3" s="27">
        <v>0.38796747843980811</v>
      </c>
      <c r="EB3" s="27">
        <v>0.54304312379535968</v>
      </c>
      <c r="EC3" s="27">
        <v>0.65752600714723042</v>
      </c>
      <c r="ED3" s="12">
        <v>5.53</v>
      </c>
      <c r="EE3" s="13">
        <f t="shared" ref="EE3:EE41" si="19">EA3*ED3</f>
        <v>2.1454601557721391</v>
      </c>
      <c r="EF3" s="13">
        <f t="shared" ref="EF3:EF41" si="20">ED3*EB3</f>
        <v>3.0030284745883393</v>
      </c>
      <c r="EG3" s="13">
        <f t="shared" ref="EG3:EG41" si="21">ED3*EC3</f>
        <v>3.6361188195241843</v>
      </c>
    </row>
    <row r="4" spans="1:137">
      <c r="A4" s="8" t="s">
        <v>4</v>
      </c>
      <c r="B4" s="9">
        <v>-1.138307345609308</v>
      </c>
      <c r="C4" s="27">
        <v>2.9519938036801719E-3</v>
      </c>
      <c r="D4" s="27">
        <v>0.17476831771420501</v>
      </c>
      <c r="E4" s="27">
        <v>0.50858520371434413</v>
      </c>
      <c r="F4" s="11">
        <v>579.30999999999995</v>
      </c>
      <c r="G4" s="12">
        <v>757.56999999999994</v>
      </c>
      <c r="H4" s="13">
        <f t="shared" si="0"/>
        <v>132.39923445075027</v>
      </c>
      <c r="I4" s="13">
        <f t="shared" si="1"/>
        <v>1.7101195304099601</v>
      </c>
      <c r="J4" s="14">
        <f t="shared" si="2"/>
        <v>101.2450341350161</v>
      </c>
      <c r="K4" s="14">
        <f t="shared" si="3"/>
        <v>294.62849436375666</v>
      </c>
      <c r="L4" s="15"/>
      <c r="M4" s="9"/>
      <c r="N4" s="15"/>
      <c r="O4" s="12"/>
      <c r="P4" s="13"/>
      <c r="Q4" s="13"/>
      <c r="R4" s="13"/>
      <c r="S4" s="15"/>
      <c r="T4" s="15"/>
      <c r="U4" s="15"/>
      <c r="V4" s="12"/>
      <c r="W4" s="13"/>
      <c r="X4" s="13"/>
      <c r="Y4" s="13"/>
      <c r="Z4" s="27">
        <v>0.12953522342998919</v>
      </c>
      <c r="AA4" s="27">
        <v>0.22233771412098771</v>
      </c>
      <c r="AB4" s="27">
        <v>0.32538026798864289</v>
      </c>
      <c r="AC4" s="12">
        <v>38.799999999999997</v>
      </c>
      <c r="AD4" s="13">
        <f t="shared" si="4"/>
        <v>5.02596666908358</v>
      </c>
      <c r="AE4" s="13">
        <f>AC4*AA4</f>
        <v>8.6267033078943225</v>
      </c>
      <c r="AF4" s="13">
        <f t="shared" si="5"/>
        <v>12.624754397959343</v>
      </c>
      <c r="AG4" s="15"/>
      <c r="AH4" s="15"/>
      <c r="AI4" s="15"/>
      <c r="AJ4" s="12"/>
      <c r="AK4" s="13"/>
      <c r="AL4" s="13"/>
      <c r="AM4" s="13"/>
      <c r="AN4" s="15"/>
      <c r="AO4" s="15"/>
      <c r="AP4" s="15"/>
      <c r="AQ4" s="12"/>
      <c r="AR4" s="13"/>
      <c r="AS4" s="13"/>
      <c r="AT4" s="13"/>
      <c r="AU4" s="15"/>
      <c r="AV4" s="15"/>
      <c r="AW4" s="15"/>
      <c r="AX4" s="12"/>
      <c r="AY4" s="13"/>
      <c r="AZ4" s="13"/>
      <c r="BA4" s="13"/>
      <c r="BB4" s="15"/>
      <c r="BC4" s="15"/>
      <c r="BD4" s="15"/>
      <c r="BE4" s="12"/>
      <c r="BF4" s="13"/>
      <c r="BG4" s="13"/>
      <c r="BH4" s="13"/>
      <c r="BI4" s="15"/>
      <c r="BJ4" s="15"/>
      <c r="BK4" s="15"/>
      <c r="BL4" s="12"/>
      <c r="BM4" s="13"/>
      <c r="BN4" s="13"/>
      <c r="BO4" s="13"/>
      <c r="BP4" s="15"/>
      <c r="BQ4" s="15"/>
      <c r="BR4" s="15"/>
      <c r="BS4" s="12"/>
      <c r="BT4" s="13"/>
      <c r="BU4" s="13"/>
      <c r="BV4" s="13"/>
      <c r="BW4" s="15"/>
      <c r="BX4" s="15"/>
      <c r="BY4" s="15"/>
      <c r="BZ4" s="12"/>
      <c r="CA4" s="13"/>
      <c r="CB4" s="13"/>
      <c r="CC4" s="13"/>
      <c r="CD4" s="27">
        <v>8.8328155471067926E-2</v>
      </c>
      <c r="CE4" s="27">
        <v>0.15480311923537179</v>
      </c>
      <c r="CF4" s="27">
        <v>0.22960993243259151</v>
      </c>
      <c r="CG4" s="12">
        <v>162.38999999999999</v>
      </c>
      <c r="CH4" s="13">
        <f t="shared" si="6"/>
        <v>14.343609166946719</v>
      </c>
      <c r="CI4" s="13">
        <f t="shared" si="7"/>
        <v>25.138478532632025</v>
      </c>
      <c r="CJ4" s="13">
        <f t="shared" si="8"/>
        <v>37.286356927728534</v>
      </c>
      <c r="CK4" s="27">
        <v>0.27031669208791981</v>
      </c>
      <c r="CL4" s="27">
        <v>0.40649926569189171</v>
      </c>
      <c r="CM4" s="27">
        <v>0.52051685720178098</v>
      </c>
      <c r="CN4" s="12">
        <v>80.209999999999994</v>
      </c>
      <c r="CO4" s="13">
        <f t="shared" si="9"/>
        <v>21.682101872372048</v>
      </c>
      <c r="CP4" s="13">
        <f t="shared" si="10"/>
        <v>32.605306101146631</v>
      </c>
      <c r="CQ4" s="13">
        <f t="shared" si="11"/>
        <v>41.750657116154848</v>
      </c>
      <c r="CR4" s="27">
        <v>0.33684982212134251</v>
      </c>
      <c r="CS4" s="27">
        <v>0.48610185563000502</v>
      </c>
      <c r="CT4" s="27">
        <v>0.60361429794192789</v>
      </c>
      <c r="CU4" s="12">
        <v>57.86</v>
      </c>
      <c r="CV4" s="13">
        <f t="shared" si="12"/>
        <v>19.490130707940878</v>
      </c>
      <c r="CW4" s="13">
        <f t="shared" ref="CW4:CW43" si="22">CU4*CS4</f>
        <v>28.125853366752089</v>
      </c>
      <c r="CX4" s="13">
        <f t="shared" ref="CX4:CX43" si="23">CU4*CT4</f>
        <v>34.925123278919948</v>
      </c>
      <c r="CY4" s="27">
        <v>7.9411612206195817E-2</v>
      </c>
      <c r="CZ4" s="27">
        <v>0.14106935582900321</v>
      </c>
      <c r="DA4" s="27">
        <v>0.21717528247487189</v>
      </c>
      <c r="DB4" s="12">
        <v>224.31</v>
      </c>
      <c r="DC4" s="13">
        <f t="shared" si="13"/>
        <v>17.812818733971785</v>
      </c>
      <c r="DD4" s="13">
        <f t="shared" si="14"/>
        <v>31.64326720600371</v>
      </c>
      <c r="DE4" s="13">
        <f t="shared" si="15"/>
        <v>48.714587611938512</v>
      </c>
      <c r="DF4" s="27">
        <v>0.25308962184874678</v>
      </c>
      <c r="DG4" s="27">
        <v>0.38987413490838008</v>
      </c>
      <c r="DH4" s="27">
        <v>0.50479790301661009</v>
      </c>
      <c r="DI4" s="12">
        <v>9.4</v>
      </c>
      <c r="DJ4" s="13">
        <f t="shared" si="16"/>
        <v>2.3790424453782197</v>
      </c>
      <c r="DK4" s="13">
        <f t="shared" si="17"/>
        <v>3.6648168681387729</v>
      </c>
      <c r="DL4" s="13">
        <f t="shared" si="18"/>
        <v>4.7451002883561353</v>
      </c>
      <c r="DM4" s="27">
        <v>3.546205480616393E-4</v>
      </c>
      <c r="DN4" s="27">
        <v>8.2499646216357934E-3</v>
      </c>
      <c r="DO4" s="27">
        <v>3.8210191285876473E-2</v>
      </c>
      <c r="DP4" s="12">
        <v>6.34</v>
      </c>
      <c r="DQ4" s="13">
        <f t="shared" ref="DQ4:DQ43" si="24">DM4*DP4</f>
        <v>2.2482942747107932E-3</v>
      </c>
      <c r="DR4" s="13">
        <f>DP4*DN4</f>
        <v>5.2304775701170932E-2</v>
      </c>
      <c r="DS4" s="13">
        <f>DP4*DO4</f>
        <v>0.24225261275245683</v>
      </c>
      <c r="DW4" s="12"/>
      <c r="DX4" s="13"/>
      <c r="DY4" s="13"/>
      <c r="DZ4" s="13"/>
      <c r="EA4" s="15"/>
      <c r="ED4" s="12"/>
      <c r="EE4" s="13"/>
      <c r="EF4" s="13"/>
      <c r="EG4" s="13"/>
    </row>
    <row r="5" spans="1:137">
      <c r="A5" s="8" t="s">
        <v>5</v>
      </c>
      <c r="B5" s="9">
        <v>-1.0370981168985871</v>
      </c>
      <c r="C5" s="27">
        <v>5.116113315614425E-4</v>
      </c>
      <c r="D5" s="27">
        <v>4.3431639840170538E-2</v>
      </c>
      <c r="E5" s="27">
        <v>0.19970578444617329</v>
      </c>
      <c r="F5" s="11">
        <v>1950.88</v>
      </c>
      <c r="G5" s="12">
        <v>2593.0200000000004</v>
      </c>
      <c r="H5" s="13">
        <f t="shared" si="0"/>
        <v>112.61911073835903</v>
      </c>
      <c r="I5" s="13">
        <f t="shared" si="1"/>
        <v>0.99809231451658698</v>
      </c>
      <c r="J5" s="14">
        <f t="shared" si="2"/>
        <v>84.729917531391905</v>
      </c>
      <c r="K5" s="14">
        <f t="shared" si="3"/>
        <v>389.60202076035057</v>
      </c>
      <c r="L5" s="15"/>
      <c r="M5" s="9"/>
      <c r="N5" s="15"/>
      <c r="O5" s="12"/>
      <c r="P5" s="13"/>
      <c r="Q5" s="13"/>
      <c r="R5" s="13"/>
      <c r="S5" s="15"/>
      <c r="T5" s="15"/>
      <c r="U5" s="15"/>
      <c r="V5" s="12"/>
      <c r="W5" s="13"/>
      <c r="X5" s="13"/>
      <c r="Y5" s="13"/>
      <c r="Z5" s="27">
        <v>1.543597755887558E-2</v>
      </c>
      <c r="AA5" s="27">
        <v>5.5148679295131238E-2</v>
      </c>
      <c r="AB5" s="27">
        <v>0.11841559742610989</v>
      </c>
      <c r="AC5" s="12">
        <v>30.26</v>
      </c>
      <c r="AD5" s="13">
        <f t="shared" si="4"/>
        <v>0.46709268093157508</v>
      </c>
      <c r="AE5" s="13">
        <f t="shared" ref="AE5:AE43" si="25">AC5*AA5</f>
        <v>1.6687990354706714</v>
      </c>
      <c r="AF5" s="13">
        <f t="shared" si="5"/>
        <v>3.5832559781140856</v>
      </c>
      <c r="AG5" s="15"/>
      <c r="AH5" s="15"/>
      <c r="AI5" s="15"/>
      <c r="AJ5" s="12"/>
      <c r="AK5" s="13"/>
      <c r="AL5" s="13"/>
      <c r="AM5" s="13"/>
      <c r="AN5" s="15"/>
      <c r="AO5" s="15"/>
      <c r="AP5" s="15"/>
      <c r="AQ5" s="12"/>
      <c r="AR5" s="13"/>
      <c r="AS5" s="13"/>
      <c r="AT5" s="13"/>
      <c r="AU5" s="15"/>
      <c r="AV5" s="15"/>
      <c r="AW5" s="15"/>
      <c r="AX5" s="12"/>
      <c r="AY5" s="13"/>
      <c r="AZ5" s="13"/>
      <c r="BA5" s="13"/>
      <c r="BB5" s="15"/>
      <c r="BC5" s="15"/>
      <c r="BD5" s="15"/>
      <c r="BE5" s="12"/>
      <c r="BF5" s="13"/>
      <c r="BG5" s="13"/>
      <c r="BH5" s="13"/>
      <c r="BI5" s="15"/>
      <c r="BJ5" s="15"/>
      <c r="BK5" s="15"/>
      <c r="BL5" s="12"/>
      <c r="BM5" s="13"/>
      <c r="BN5" s="13"/>
      <c r="BO5" s="13"/>
      <c r="BP5" s="15"/>
      <c r="BQ5" s="15"/>
      <c r="BR5" s="15"/>
      <c r="BS5" s="12"/>
      <c r="BT5" s="13"/>
      <c r="BU5" s="13"/>
      <c r="BV5" s="13"/>
      <c r="BW5" s="15"/>
      <c r="BX5" s="15"/>
      <c r="BY5" s="15"/>
      <c r="BZ5" s="12"/>
      <c r="CA5" s="13"/>
      <c r="CB5" s="13"/>
      <c r="CC5" s="13"/>
      <c r="CD5" s="27">
        <v>9.8628530917044006E-3</v>
      </c>
      <c r="CE5" s="27">
        <v>3.6211163169832222E-2</v>
      </c>
      <c r="CF5" s="27">
        <v>7.4986947116750191E-2</v>
      </c>
      <c r="CG5" s="12">
        <v>448.21000000000004</v>
      </c>
      <c r="CH5" s="13">
        <f t="shared" si="6"/>
        <v>4.4206293842328295</v>
      </c>
      <c r="CI5" s="13">
        <f t="shared" si="7"/>
        <v>16.230205444350503</v>
      </c>
      <c r="CJ5" s="13">
        <f t="shared" si="8"/>
        <v>33.609899567198603</v>
      </c>
      <c r="CK5" s="27">
        <v>3.8216162621229337E-2</v>
      </c>
      <c r="CL5" s="27">
        <v>0.12381523396059391</v>
      </c>
      <c r="CM5" s="27">
        <v>0.2282580415795355</v>
      </c>
      <c r="CN5" s="12">
        <v>313.89999999999998</v>
      </c>
      <c r="CO5" s="13">
        <f t="shared" si="9"/>
        <v>11.996053446803888</v>
      </c>
      <c r="CP5" s="13">
        <f t="shared" si="10"/>
        <v>38.865601940230427</v>
      </c>
      <c r="CQ5" s="13">
        <f t="shared" si="11"/>
        <v>71.65019925181619</v>
      </c>
      <c r="CR5" s="28">
        <v>5.0905623708141938E-2</v>
      </c>
      <c r="CS5" s="28">
        <v>0.1634066328782732</v>
      </c>
      <c r="CT5" s="28">
        <v>0.29929078861145852</v>
      </c>
      <c r="CU5" s="16"/>
      <c r="CV5" s="16"/>
      <c r="CW5" s="16"/>
      <c r="CX5" s="16"/>
      <c r="CY5" s="27">
        <v>9.2292932771367974E-3</v>
      </c>
      <c r="CZ5" s="27">
        <v>3.2690065280082559E-2</v>
      </c>
      <c r="DA5" s="27">
        <v>6.8847121832586497E-2</v>
      </c>
      <c r="DB5" s="12">
        <v>1116.8</v>
      </c>
      <c r="DC5" s="13">
        <f t="shared" si="13"/>
        <v>10.307274731906375</v>
      </c>
      <c r="DD5" s="13">
        <f t="shared" si="14"/>
        <v>36.508264904796199</v>
      </c>
      <c r="DE5" s="13">
        <f t="shared" si="15"/>
        <v>76.888465662632598</v>
      </c>
      <c r="DF5" s="27">
        <v>3.487457295727512E-2</v>
      </c>
      <c r="DG5" s="27">
        <v>0.1171430678306541</v>
      </c>
      <c r="DH5" s="27">
        <v>0.22007957980379511</v>
      </c>
      <c r="DI5" s="12">
        <v>38.340000000000003</v>
      </c>
      <c r="DJ5" s="13">
        <f t="shared" si="16"/>
        <v>1.3370911271819281</v>
      </c>
      <c r="DK5" s="13">
        <f t="shared" si="17"/>
        <v>4.4912652206272785</v>
      </c>
      <c r="DL5" s="13">
        <f t="shared" si="18"/>
        <v>8.4378510896775047</v>
      </c>
      <c r="DM5" s="27">
        <v>5.632553685167378E-5</v>
      </c>
      <c r="DN5" s="27">
        <v>1.595034114631238E-3</v>
      </c>
      <c r="DO5" s="27">
        <v>9.7149928128180858E-3</v>
      </c>
      <c r="DP5" s="12">
        <v>3.37</v>
      </c>
      <c r="DQ5" s="13">
        <f t="shared" si="24"/>
        <v>1.8981705919014064E-4</v>
      </c>
      <c r="DR5" s="13">
        <f t="shared" ref="DR5:DR43" si="26">DP5*DN5</f>
        <v>5.3752649663072723E-3</v>
      </c>
      <c r="DS5" s="13">
        <f t="shared" ref="DS5:DS43" si="27">DP5*DO5</f>
        <v>3.2739525779196949E-2</v>
      </c>
      <c r="DW5" s="12"/>
      <c r="DX5" s="13"/>
      <c r="DY5" s="13"/>
      <c r="DZ5" s="13"/>
      <c r="EA5" s="15"/>
      <c r="ED5" s="12"/>
      <c r="EE5" s="13"/>
      <c r="EF5" s="13"/>
      <c r="EG5" s="13"/>
    </row>
    <row r="6" spans="1:137">
      <c r="A6" s="8" t="s">
        <v>6</v>
      </c>
      <c r="B6" s="9">
        <v>-0.64051867316985034</v>
      </c>
      <c r="C6" s="27">
        <v>1.14954512146015E-3</v>
      </c>
      <c r="D6" s="27">
        <v>7.7061114140699077E-2</v>
      </c>
      <c r="E6" s="27">
        <v>0.29740587535840501</v>
      </c>
      <c r="F6" s="11">
        <v>2159.0500000000006</v>
      </c>
      <c r="G6" s="12">
        <v>2953.67</v>
      </c>
      <c r="H6" s="13">
        <f t="shared" si="0"/>
        <v>227.61310100395866</v>
      </c>
      <c r="I6" s="13">
        <f t="shared" si="1"/>
        <v>2.4819253944885373</v>
      </c>
      <c r="J6" s="14">
        <f t="shared" si="2"/>
        <v>166.37879848547638</v>
      </c>
      <c r="K6" s="14">
        <f t="shared" si="3"/>
        <v>642.11415519256457</v>
      </c>
      <c r="L6" s="15"/>
      <c r="M6" s="9"/>
      <c r="N6" s="15"/>
      <c r="O6" s="12"/>
      <c r="P6" s="13"/>
      <c r="Q6" s="13"/>
      <c r="R6" s="13"/>
      <c r="S6" s="15"/>
      <c r="T6" s="15"/>
      <c r="U6" s="15"/>
      <c r="V6" s="12"/>
      <c r="W6" s="13"/>
      <c r="X6" s="13"/>
      <c r="Y6" s="13"/>
      <c r="Z6" s="27">
        <v>4.029406810182555E-2</v>
      </c>
      <c r="AA6" s="27">
        <v>0.101692261856953</v>
      </c>
      <c r="AB6" s="27">
        <v>0.1674027867436006</v>
      </c>
      <c r="AC6" s="12">
        <v>16.239999999999998</v>
      </c>
      <c r="AD6" s="13">
        <f t="shared" si="4"/>
        <v>0.65437566597364683</v>
      </c>
      <c r="AE6" s="13">
        <f t="shared" si="25"/>
        <v>1.6514823325569166</v>
      </c>
      <c r="AF6" s="13">
        <f t="shared" si="5"/>
        <v>2.7186212567160735</v>
      </c>
      <c r="AG6" s="15"/>
      <c r="AH6" s="15"/>
      <c r="AI6" s="15"/>
      <c r="AJ6" s="12"/>
      <c r="AK6" s="13"/>
      <c r="AL6" s="13"/>
      <c r="AM6" s="13"/>
      <c r="AN6" s="15"/>
      <c r="AO6" s="15"/>
      <c r="AP6" s="15"/>
      <c r="AQ6" s="12"/>
      <c r="AR6" s="13"/>
      <c r="AS6" s="13"/>
      <c r="AT6" s="13"/>
      <c r="AU6" s="15"/>
      <c r="AV6" s="15"/>
      <c r="AW6" s="15"/>
      <c r="AX6" s="12"/>
      <c r="AY6" s="13"/>
      <c r="AZ6" s="13"/>
      <c r="BA6" s="13"/>
      <c r="BB6" s="15"/>
      <c r="BC6" s="15"/>
      <c r="BD6" s="15"/>
      <c r="BE6" s="12"/>
      <c r="BF6" s="13"/>
      <c r="BG6" s="13"/>
      <c r="BH6" s="13"/>
      <c r="BI6" s="15"/>
      <c r="BJ6" s="15"/>
      <c r="BK6" s="15"/>
      <c r="BL6" s="12"/>
      <c r="BM6" s="13"/>
      <c r="BN6" s="13"/>
      <c r="BO6" s="13"/>
      <c r="BP6" s="15"/>
      <c r="BQ6" s="15"/>
      <c r="BR6" s="15"/>
      <c r="BS6" s="12"/>
      <c r="BT6" s="13"/>
      <c r="BU6" s="13"/>
      <c r="BV6" s="13"/>
      <c r="BW6" s="15"/>
      <c r="BX6" s="15"/>
      <c r="BY6" s="15"/>
      <c r="BZ6" s="12"/>
      <c r="CA6" s="13"/>
      <c r="CB6" s="13"/>
      <c r="CC6" s="13"/>
      <c r="CD6" s="27">
        <v>2.7130950203555701E-2</v>
      </c>
      <c r="CE6" s="27">
        <v>6.7850831889716148E-2</v>
      </c>
      <c r="CF6" s="27">
        <v>0.1091640892833214</v>
      </c>
      <c r="CG6" s="12">
        <v>591.05000000000007</v>
      </c>
      <c r="CH6" s="13">
        <f t="shared" si="6"/>
        <v>16.0357481178116</v>
      </c>
      <c r="CI6" s="13">
        <f t="shared" si="7"/>
        <v>40.103234188416735</v>
      </c>
      <c r="CJ6" s="13">
        <f t="shared" si="8"/>
        <v>64.521434970907123</v>
      </c>
      <c r="CK6" s="27">
        <v>9.2414056739087383E-2</v>
      </c>
      <c r="CL6" s="27">
        <v>0.2154200308547958</v>
      </c>
      <c r="CM6" s="27">
        <v>0.3113329121476156</v>
      </c>
      <c r="CN6" s="12">
        <v>445.9</v>
      </c>
      <c r="CO6" s="13">
        <f t="shared" si="9"/>
        <v>41.207427899959065</v>
      </c>
      <c r="CP6" s="13">
        <f t="shared" si="10"/>
        <v>96.055791758153447</v>
      </c>
      <c r="CQ6" s="13">
        <f t="shared" si="11"/>
        <v>138.82334552662178</v>
      </c>
      <c r="CR6" s="27">
        <v>0.12511610690886391</v>
      </c>
      <c r="CS6" s="27">
        <v>0.27378029845209079</v>
      </c>
      <c r="CT6" s="27">
        <v>0.3912243049538594</v>
      </c>
      <c r="CU6" s="12">
        <v>6.22</v>
      </c>
      <c r="CV6" s="13">
        <f t="shared" si="12"/>
        <v>0.77822218497313345</v>
      </c>
      <c r="CW6" s="13">
        <f t="shared" si="22"/>
        <v>1.7029134563720045</v>
      </c>
      <c r="CX6" s="13">
        <f t="shared" si="23"/>
        <v>2.4334151768130052</v>
      </c>
      <c r="CY6" s="27">
        <v>2.4222551935645421E-2</v>
      </c>
      <c r="CZ6" s="27">
        <v>6.1445461902715701E-2</v>
      </c>
      <c r="DA6" s="27">
        <v>0.10356019001294681</v>
      </c>
      <c r="DB6" s="12">
        <v>1052.8900000000001</v>
      </c>
      <c r="DC6" s="13">
        <f t="shared" si="13"/>
        <v>25.503682707521708</v>
      </c>
      <c r="DD6" s="13">
        <f t="shared" si="14"/>
        <v>64.695312382750345</v>
      </c>
      <c r="DE6" s="13">
        <f t="shared" si="15"/>
        <v>109.03748846273157</v>
      </c>
      <c r="DF6" s="27">
        <v>8.7722389879953552E-2</v>
      </c>
      <c r="DG6" s="27">
        <v>0.20304647618455551</v>
      </c>
      <c r="DH6" s="27">
        <v>0.30148701329173277</v>
      </c>
      <c r="DI6" s="12">
        <v>18.59</v>
      </c>
      <c r="DJ6" s="13">
        <f t="shared" si="16"/>
        <v>1.6307592278683365</v>
      </c>
      <c r="DK6" s="13">
        <f t="shared" si="17"/>
        <v>3.7746339922708869</v>
      </c>
      <c r="DL6" s="13">
        <f t="shared" si="18"/>
        <v>5.6046435770933121</v>
      </c>
      <c r="DM6" s="27">
        <v>1.210961688389768E-4</v>
      </c>
      <c r="DN6" s="27">
        <v>3.1543016442141529E-3</v>
      </c>
      <c r="DO6" s="27">
        <v>1.7082387291850729E-2</v>
      </c>
      <c r="DP6" s="12">
        <v>27.05</v>
      </c>
      <c r="DQ6" s="13">
        <f t="shared" si="24"/>
        <v>3.2756513670943225E-3</v>
      </c>
      <c r="DR6" s="13">
        <f t="shared" si="26"/>
        <v>8.5323859475992844E-2</v>
      </c>
      <c r="DS6" s="13">
        <f t="shared" si="27"/>
        <v>0.46207857624456222</v>
      </c>
      <c r="DW6" s="12"/>
      <c r="DX6" s="13"/>
      <c r="DY6" s="13"/>
      <c r="DZ6" s="13"/>
      <c r="EA6" s="27">
        <v>2.6360820924619759E-2</v>
      </c>
      <c r="EB6" s="27">
        <v>7.0575303455959845E-2</v>
      </c>
      <c r="EC6" s="27">
        <v>0.1224719075409513</v>
      </c>
      <c r="ED6" s="12">
        <v>1.1100000000000001</v>
      </c>
      <c r="EE6" s="13">
        <f t="shared" si="19"/>
        <v>2.9260511226327935E-2</v>
      </c>
      <c r="EF6" s="13">
        <f t="shared" si="20"/>
        <v>7.8338586836115429E-2</v>
      </c>
      <c r="EG6" s="13">
        <f t="shared" si="21"/>
        <v>0.13594381737045597</v>
      </c>
    </row>
    <row r="7" spans="1:137">
      <c r="A7" s="8" t="s">
        <v>7</v>
      </c>
      <c r="B7" s="9">
        <v>1.6256594275307421</v>
      </c>
      <c r="C7" s="27">
        <v>2.9429141396964428E-3</v>
      </c>
      <c r="D7" s="27">
        <v>0.18664878516834499</v>
      </c>
      <c r="E7" s="27">
        <v>0.51855450975960604</v>
      </c>
      <c r="F7" s="11">
        <v>365.07</v>
      </c>
      <c r="G7" s="12">
        <v>385.64</v>
      </c>
      <c r="H7" s="13">
        <f t="shared" si="0"/>
        <v>71.979237512320552</v>
      </c>
      <c r="I7" s="13">
        <f t="shared" si="1"/>
        <v>1.0743696649789805</v>
      </c>
      <c r="J7" s="14">
        <f t="shared" si="2"/>
        <v>68.13987200140771</v>
      </c>
      <c r="K7" s="14">
        <f t="shared" si="3"/>
        <v>189.30869487793939</v>
      </c>
      <c r="L7" s="15"/>
      <c r="M7" s="9"/>
      <c r="N7" s="15"/>
      <c r="O7" s="12"/>
      <c r="P7" s="13"/>
      <c r="Q7" s="13"/>
      <c r="R7" s="13"/>
      <c r="S7" s="15"/>
      <c r="T7" s="15"/>
      <c r="U7" s="15"/>
      <c r="V7" s="12"/>
      <c r="W7" s="13"/>
      <c r="X7" s="13"/>
      <c r="Y7" s="13"/>
      <c r="Z7" s="27">
        <v>0.1397473214879898</v>
      </c>
      <c r="AA7" s="27">
        <v>0.2323092302465071</v>
      </c>
      <c r="AB7" s="27">
        <v>0.33345454319458839</v>
      </c>
      <c r="AC7" s="12">
        <v>3.66</v>
      </c>
      <c r="AD7" s="13">
        <f t="shared" si="4"/>
        <v>0.51147519664604268</v>
      </c>
      <c r="AE7" s="13">
        <f t="shared" si="25"/>
        <v>0.85025178270221602</v>
      </c>
      <c r="AF7" s="13">
        <f t="shared" si="5"/>
        <v>1.2204436280921935</v>
      </c>
      <c r="AG7" s="15"/>
      <c r="AH7" s="15"/>
      <c r="AI7" s="15"/>
      <c r="AJ7" s="12"/>
      <c r="AK7" s="13"/>
      <c r="AL7" s="13"/>
      <c r="AM7" s="13"/>
      <c r="AN7" s="15"/>
      <c r="AO7" s="15"/>
      <c r="AP7" s="15"/>
      <c r="AQ7" s="12"/>
      <c r="AR7" s="13"/>
      <c r="AS7" s="13"/>
      <c r="AT7" s="13"/>
      <c r="AU7" s="15"/>
      <c r="AV7" s="15"/>
      <c r="AW7" s="15"/>
      <c r="AX7" s="12"/>
      <c r="AY7" s="13"/>
      <c r="AZ7" s="13"/>
      <c r="BA7" s="13"/>
      <c r="BB7" s="15"/>
      <c r="BC7" s="15"/>
      <c r="BD7" s="15"/>
      <c r="BE7" s="12"/>
      <c r="BF7" s="13"/>
      <c r="BG7" s="13"/>
      <c r="BH7" s="13"/>
      <c r="BI7" s="15"/>
      <c r="BJ7" s="15"/>
      <c r="BK7" s="15"/>
      <c r="BL7" s="12"/>
      <c r="BM7" s="13"/>
      <c r="BN7" s="13"/>
      <c r="BO7" s="13"/>
      <c r="BP7" s="15"/>
      <c r="BQ7" s="15"/>
      <c r="BR7" s="15"/>
      <c r="BS7" s="12"/>
      <c r="BT7" s="13"/>
      <c r="BU7" s="13"/>
      <c r="BV7" s="13"/>
      <c r="BW7" s="15"/>
      <c r="BX7" s="15"/>
      <c r="BY7" s="15"/>
      <c r="BZ7" s="12"/>
      <c r="CA7" s="13"/>
      <c r="CB7" s="13"/>
      <c r="CC7" s="13"/>
      <c r="CD7" s="27">
        <v>9.9477433092403519E-2</v>
      </c>
      <c r="CE7" s="27">
        <v>0.1631377144694712</v>
      </c>
      <c r="CF7" s="27">
        <v>0.23123034896007791</v>
      </c>
      <c r="CG7" s="12">
        <v>112.48199999999999</v>
      </c>
      <c r="CH7" s="13">
        <f t="shared" si="6"/>
        <v>11.189420629099731</v>
      </c>
      <c r="CI7" s="13">
        <f t="shared" si="7"/>
        <v>18.350056398955058</v>
      </c>
      <c r="CJ7" s="13">
        <f t="shared" si="8"/>
        <v>26.009252111727481</v>
      </c>
      <c r="CK7" s="27">
        <v>0.30216964117018258</v>
      </c>
      <c r="CL7" s="27">
        <v>0.42137491391974868</v>
      </c>
      <c r="CM7" s="27">
        <v>0.52494796095170349</v>
      </c>
      <c r="CN7" s="12">
        <v>77.028000000000006</v>
      </c>
      <c r="CO7" s="13">
        <f t="shared" si="9"/>
        <v>23.275523120056825</v>
      </c>
      <c r="CP7" s="13">
        <f t="shared" si="10"/>
        <v>32.457666869410403</v>
      </c>
      <c r="CQ7" s="13">
        <f t="shared" si="11"/>
        <v>40.435691536187818</v>
      </c>
      <c r="CR7" s="27">
        <v>0.37199584638585909</v>
      </c>
      <c r="CS7" s="27">
        <v>0.49935729558280079</v>
      </c>
      <c r="CT7" s="27">
        <v>0.60348220269594699</v>
      </c>
      <c r="CU7" s="12">
        <v>19.29</v>
      </c>
      <c r="CV7" s="13">
        <f t="shared" si="12"/>
        <v>7.1757998767832216</v>
      </c>
      <c r="CW7" s="13">
        <f t="shared" si="22"/>
        <v>9.6326022317922266</v>
      </c>
      <c r="CX7" s="13">
        <f t="shared" si="23"/>
        <v>11.641171690004818</v>
      </c>
      <c r="CY7" s="27">
        <v>8.8785637051690722E-2</v>
      </c>
      <c r="CZ7" s="27">
        <v>0.14858344136579871</v>
      </c>
      <c r="DA7" s="27">
        <v>0.22075812510440601</v>
      </c>
      <c r="DB7" s="12">
        <v>141.29</v>
      </c>
      <c r="DC7" s="13">
        <f t="shared" si="13"/>
        <v>12.544522659033381</v>
      </c>
      <c r="DD7" s="13">
        <f t="shared" si="14"/>
        <v>20.993354430573699</v>
      </c>
      <c r="DE7" s="13">
        <f t="shared" si="15"/>
        <v>31.190915496001523</v>
      </c>
      <c r="DF7" s="27">
        <v>0.28446494559416019</v>
      </c>
      <c r="DG7" s="27">
        <v>0.40369993777510588</v>
      </c>
      <c r="DH7" s="27">
        <v>0.50807611560054877</v>
      </c>
      <c r="DI7" s="12">
        <v>1.8</v>
      </c>
      <c r="DJ7" s="13">
        <f t="shared" si="16"/>
        <v>0.51203690206948838</v>
      </c>
      <c r="DK7" s="13">
        <f t="shared" si="17"/>
        <v>0.72665988799519055</v>
      </c>
      <c r="DL7" s="13">
        <f t="shared" si="18"/>
        <v>0.91453700808098781</v>
      </c>
      <c r="DM7" s="27">
        <v>3.6894496416587958E-4</v>
      </c>
      <c r="DN7" s="27">
        <v>8.9094394618714247E-3</v>
      </c>
      <c r="DO7" s="27">
        <v>4.236605790237355E-2</v>
      </c>
      <c r="DP7" s="12">
        <v>5.43</v>
      </c>
      <c r="DQ7" s="13">
        <f t="shared" si="24"/>
        <v>2.0033711554207261E-3</v>
      </c>
      <c r="DR7" s="13">
        <f t="shared" si="26"/>
        <v>4.8378256277961836E-2</v>
      </c>
      <c r="DS7" s="13">
        <f t="shared" si="27"/>
        <v>0.23004769440988837</v>
      </c>
      <c r="DW7" s="12"/>
      <c r="DX7" s="13"/>
      <c r="DY7" s="13"/>
      <c r="DZ7" s="13"/>
      <c r="EA7" s="27">
        <v>9.9846356889077462E-2</v>
      </c>
      <c r="EB7" s="27">
        <v>0.1681718062049391</v>
      </c>
      <c r="EC7" s="27">
        <v>0.25119819202249621</v>
      </c>
      <c r="ED7" s="12">
        <v>4.09</v>
      </c>
      <c r="EE7" s="13">
        <f t="shared" si="19"/>
        <v>0.4083715996763268</v>
      </c>
      <c r="EF7" s="13">
        <f t="shared" si="20"/>
        <v>0.68782268737820085</v>
      </c>
      <c r="EG7" s="13">
        <f t="shared" si="21"/>
        <v>1.0274006053720095</v>
      </c>
    </row>
    <row r="8" spans="1:137">
      <c r="A8" s="8" t="s">
        <v>8</v>
      </c>
      <c r="B8" s="9">
        <v>-1.7407006965289029</v>
      </c>
      <c r="C8" s="27">
        <v>4.0769971065588882E-4</v>
      </c>
      <c r="D8" s="27">
        <v>3.115456218597033E-2</v>
      </c>
      <c r="E8" s="27">
        <v>0.1610442097419473</v>
      </c>
      <c r="F8" s="11">
        <v>1013.41</v>
      </c>
      <c r="G8" s="12">
        <v>2069.9</v>
      </c>
      <c r="H8" s="13">
        <f t="shared" si="0"/>
        <v>64.486828268739984</v>
      </c>
      <c r="I8" s="13">
        <f t="shared" si="1"/>
        <v>0.41316696377578427</v>
      </c>
      <c r="J8" s="14">
        <f t="shared" si="2"/>
        <v>31.57234486488419</v>
      </c>
      <c r="K8" s="14">
        <f t="shared" si="3"/>
        <v>163.20381259458682</v>
      </c>
      <c r="L8" s="15"/>
      <c r="M8" s="9"/>
      <c r="N8" s="15"/>
      <c r="O8" s="12"/>
      <c r="P8" s="13"/>
      <c r="Q8" s="13"/>
      <c r="R8" s="13"/>
      <c r="S8" s="15"/>
      <c r="T8" s="15"/>
      <c r="U8" s="15"/>
      <c r="V8" s="12"/>
      <c r="W8" s="13"/>
      <c r="X8" s="13"/>
      <c r="Y8" s="13"/>
      <c r="Z8" s="27">
        <v>8.5840493572738978E-3</v>
      </c>
      <c r="AA8" s="27">
        <v>4.012053246026745E-2</v>
      </c>
      <c r="AB8" s="27">
        <v>9.2751672399062887E-2</v>
      </c>
      <c r="AC8" s="12">
        <v>95</v>
      </c>
      <c r="AD8" s="13">
        <f t="shared" si="4"/>
        <v>0.81548468894102033</v>
      </c>
      <c r="AE8" s="13">
        <f t="shared" si="25"/>
        <v>3.8114505837254078</v>
      </c>
      <c r="AF8" s="13">
        <f t="shared" si="5"/>
        <v>8.8114088779109743</v>
      </c>
      <c r="AG8" s="15"/>
      <c r="AH8" s="15"/>
      <c r="AI8" s="15"/>
      <c r="AJ8" s="12"/>
      <c r="AK8" s="13"/>
      <c r="AL8" s="13"/>
      <c r="AM8" s="13"/>
      <c r="AN8" s="16"/>
      <c r="AO8" s="16"/>
      <c r="AP8" s="16"/>
      <c r="AQ8" s="16">
        <v>18.55</v>
      </c>
      <c r="AR8" s="16"/>
      <c r="AS8" s="16"/>
      <c r="AT8" s="16"/>
      <c r="AU8" s="15"/>
      <c r="AV8" s="15"/>
      <c r="AW8" s="15"/>
      <c r="AX8" s="12"/>
      <c r="AY8" s="13"/>
      <c r="AZ8" s="13"/>
      <c r="BA8" s="13"/>
      <c r="BB8" s="15"/>
      <c r="BC8" s="15"/>
      <c r="BD8" s="15"/>
      <c r="BE8" s="12"/>
      <c r="BF8" s="13"/>
      <c r="BG8" s="13"/>
      <c r="BH8" s="13"/>
      <c r="BI8" s="15"/>
      <c r="BJ8" s="15"/>
      <c r="BK8" s="15"/>
      <c r="BL8" s="12"/>
      <c r="BM8" s="13"/>
      <c r="BN8" s="13"/>
      <c r="BO8" s="13"/>
      <c r="BP8" s="15"/>
      <c r="BQ8" s="15"/>
      <c r="BR8" s="15"/>
      <c r="BS8" s="12"/>
      <c r="BT8" s="13"/>
      <c r="BU8" s="13"/>
      <c r="BV8" s="13"/>
      <c r="BW8" s="15"/>
      <c r="BX8" s="15"/>
      <c r="BY8" s="15"/>
      <c r="BZ8" s="12"/>
      <c r="CA8" s="13"/>
      <c r="CB8" s="13"/>
      <c r="CC8" s="13"/>
      <c r="CD8" s="27">
        <v>5.4594032917622192E-3</v>
      </c>
      <c r="CE8" s="27">
        <v>2.5907827315266779E-2</v>
      </c>
      <c r="CF8" s="27">
        <v>5.8869635159169861E-2</v>
      </c>
      <c r="CG8" s="12">
        <v>276.57</v>
      </c>
      <c r="CH8" s="13">
        <f t="shared" si="6"/>
        <v>1.509907168402677</v>
      </c>
      <c r="CI8" s="13">
        <f t="shared" si="7"/>
        <v>7.1653278005833334</v>
      </c>
      <c r="CJ8" s="13">
        <f t="shared" si="8"/>
        <v>16.281574995971607</v>
      </c>
      <c r="CK8" s="27">
        <v>1.9983147811769231E-2</v>
      </c>
      <c r="CL8" s="27">
        <v>9.1081875998207995E-2</v>
      </c>
      <c r="CM8" s="27">
        <v>0.18654874584312861</v>
      </c>
      <c r="CN8" s="12">
        <v>169.57</v>
      </c>
      <c r="CO8" s="13">
        <f t="shared" si="9"/>
        <v>3.3885423744417085</v>
      </c>
      <c r="CP8" s="13">
        <f t="shared" si="10"/>
        <v>15.444753713016128</v>
      </c>
      <c r="CQ8" s="13">
        <f t="shared" si="11"/>
        <v>31.633070832619318</v>
      </c>
      <c r="CR8" s="27">
        <v>2.7603189170494018E-2</v>
      </c>
      <c r="CS8" s="27">
        <v>0.1208446692746967</v>
      </c>
      <c r="CT8" s="27">
        <v>0.2398457048534238</v>
      </c>
      <c r="CU8" s="12">
        <v>25.21</v>
      </c>
      <c r="CV8" s="13">
        <f t="shared" si="12"/>
        <v>0.69587639898815423</v>
      </c>
      <c r="CW8" s="13">
        <f t="shared" si="22"/>
        <v>3.0464941124151039</v>
      </c>
      <c r="CX8" s="13">
        <f t="shared" si="23"/>
        <v>6.0465102193548139</v>
      </c>
      <c r="CY8" s="27">
        <v>4.792745559284794E-3</v>
      </c>
      <c r="CZ8" s="27">
        <v>2.3846239559389821E-2</v>
      </c>
      <c r="DA8" s="27">
        <v>5.3593506738796981E-2</v>
      </c>
      <c r="DB8" s="12">
        <v>318.36</v>
      </c>
      <c r="DC8" s="13">
        <f t="shared" si="13"/>
        <v>1.5258184762539071</v>
      </c>
      <c r="DD8" s="13">
        <f t="shared" si="14"/>
        <v>7.5916888261273439</v>
      </c>
      <c r="DE8" s="13">
        <f t="shared" si="15"/>
        <v>17.062028805363408</v>
      </c>
      <c r="DF8" s="27">
        <v>1.9024992913629701E-2</v>
      </c>
      <c r="DG8" s="27">
        <v>8.5544371290706203E-2</v>
      </c>
      <c r="DH8" s="27">
        <v>0.17623673781939819</v>
      </c>
      <c r="DI8" s="12">
        <v>34.36</v>
      </c>
      <c r="DJ8" s="13">
        <f t="shared" si="16"/>
        <v>0.65369875651231646</v>
      </c>
      <c r="DK8" s="13">
        <f t="shared" si="17"/>
        <v>2.9393045975486651</v>
      </c>
      <c r="DL8" s="13">
        <f t="shared" si="18"/>
        <v>6.0554943114745221</v>
      </c>
      <c r="DM8" s="27">
        <v>3.5674628978749751E-5</v>
      </c>
      <c r="DN8" s="27">
        <v>1.117549007384967E-3</v>
      </c>
      <c r="DO8" s="27">
        <v>7.1057073640705629E-3</v>
      </c>
      <c r="DP8" s="12">
        <v>89.68</v>
      </c>
      <c r="DQ8" s="13">
        <f t="shared" si="24"/>
        <v>3.199300726814278E-3</v>
      </c>
      <c r="DR8" s="13">
        <f t="shared" si="26"/>
        <v>0.10022179498228385</v>
      </c>
      <c r="DS8" s="13">
        <f t="shared" si="27"/>
        <v>0.63723983640984816</v>
      </c>
      <c r="DW8" s="12"/>
      <c r="DX8" s="13"/>
      <c r="DY8" s="13"/>
      <c r="DZ8" s="13"/>
      <c r="EA8" s="27">
        <v>5.5186534812657799E-3</v>
      </c>
      <c r="EB8" s="27">
        <v>2.6992104664025549E-2</v>
      </c>
      <c r="EC8" s="27">
        <v>6.3831431944488509E-2</v>
      </c>
      <c r="ED8" s="12">
        <v>4.66</v>
      </c>
      <c r="EE8" s="13">
        <f t="shared" si="19"/>
        <v>2.5716925222698535E-2</v>
      </c>
      <c r="EF8" s="13">
        <f t="shared" si="20"/>
        <v>0.12578320773435905</v>
      </c>
      <c r="EG8" s="13">
        <f t="shared" si="21"/>
        <v>0.29745447286131649</v>
      </c>
    </row>
    <row r="9" spans="1:137">
      <c r="A9" s="8" t="s">
        <v>9</v>
      </c>
      <c r="B9" s="9">
        <v>1.8576846479093789</v>
      </c>
      <c r="C9" s="27">
        <v>0.31746978194183739</v>
      </c>
      <c r="D9" s="27">
        <v>0.65814001315689397</v>
      </c>
      <c r="E9" s="27">
        <v>0.81662907792913686</v>
      </c>
      <c r="F9" s="11">
        <v>685.6</v>
      </c>
      <c r="G9" s="12">
        <v>685.60000000000014</v>
      </c>
      <c r="H9" s="13">
        <f t="shared" si="0"/>
        <v>451.22079302036661</v>
      </c>
      <c r="I9" s="13">
        <f t="shared" si="1"/>
        <v>217.65728249932371</v>
      </c>
      <c r="J9" s="14">
        <f t="shared" si="2"/>
        <v>451.2207930203665</v>
      </c>
      <c r="K9" s="14">
        <f t="shared" si="3"/>
        <v>559.88089582821624</v>
      </c>
      <c r="L9" s="15"/>
      <c r="M9" s="9"/>
      <c r="N9" s="15"/>
      <c r="O9" s="12"/>
      <c r="P9" s="13"/>
      <c r="Q9" s="13"/>
      <c r="R9" s="13"/>
      <c r="S9" s="15"/>
      <c r="T9" s="15"/>
      <c r="U9" s="15"/>
      <c r="V9" s="12"/>
      <c r="W9" s="13"/>
      <c r="X9" s="13"/>
      <c r="Y9" s="13"/>
      <c r="Z9" s="15"/>
      <c r="AC9" s="12"/>
      <c r="AD9" s="13"/>
      <c r="AE9" s="13"/>
      <c r="AF9" s="13"/>
      <c r="AG9" s="15"/>
      <c r="AH9" s="15"/>
      <c r="AI9" s="15"/>
      <c r="AJ9" s="12"/>
      <c r="AK9" s="13"/>
      <c r="AL9" s="13"/>
      <c r="AM9" s="13"/>
      <c r="AN9" s="15"/>
      <c r="AO9" s="15"/>
      <c r="AP9" s="15"/>
      <c r="AQ9" s="12"/>
      <c r="AR9" s="13"/>
      <c r="AS9" s="13"/>
      <c r="AT9" s="13"/>
      <c r="AU9" s="15"/>
      <c r="AV9" s="15"/>
      <c r="AW9" s="15"/>
      <c r="AX9" s="12"/>
      <c r="AY9" s="13"/>
      <c r="AZ9" s="13"/>
      <c r="BA9" s="13"/>
      <c r="BB9" s="15"/>
      <c r="BC9" s="15"/>
      <c r="BD9" s="15"/>
      <c r="BE9" s="12"/>
      <c r="BF9" s="13"/>
      <c r="BG9" s="13"/>
      <c r="BH9" s="13"/>
      <c r="BI9" s="15"/>
      <c r="BJ9" s="15"/>
      <c r="BK9" s="15"/>
      <c r="BL9" s="12"/>
      <c r="BM9" s="13"/>
      <c r="BN9" s="13"/>
      <c r="BO9" s="13"/>
      <c r="BP9" s="15"/>
      <c r="BQ9" s="15"/>
      <c r="BR9" s="15"/>
      <c r="BS9" s="12"/>
      <c r="BT9" s="13"/>
      <c r="BU9" s="13"/>
      <c r="BV9" s="13"/>
      <c r="BW9" s="15"/>
      <c r="BX9" s="15"/>
      <c r="BY9" s="15"/>
      <c r="BZ9" s="12"/>
      <c r="CA9" s="13"/>
      <c r="CB9" s="13"/>
      <c r="CC9" s="13"/>
      <c r="CD9" s="27">
        <v>0.31861180920550147</v>
      </c>
      <c r="CE9" s="27">
        <v>0.41026075588340222</v>
      </c>
      <c r="CF9" s="27">
        <v>0.50128751051266851</v>
      </c>
      <c r="CG9" s="12">
        <v>170.53</v>
      </c>
      <c r="CH9" s="13">
        <f t="shared" si="6"/>
        <v>54.332871823814166</v>
      </c>
      <c r="CI9" s="13">
        <f t="shared" si="7"/>
        <v>69.961766700796574</v>
      </c>
      <c r="CJ9" s="13">
        <f t="shared" si="8"/>
        <v>85.484559167725365</v>
      </c>
      <c r="CK9" s="27">
        <v>0.63611280790756275</v>
      </c>
      <c r="CL9" s="27">
        <v>0.72264324715790262</v>
      </c>
      <c r="CM9" s="27">
        <v>0.79257139881164318</v>
      </c>
      <c r="CN9" s="12">
        <v>178.52</v>
      </c>
      <c r="CO9" s="13">
        <f t="shared" si="9"/>
        <v>113.55885846765811</v>
      </c>
      <c r="CP9" s="13">
        <f t="shared" si="10"/>
        <v>129.00627248262879</v>
      </c>
      <c r="CQ9" s="13">
        <f t="shared" si="11"/>
        <v>141.48984611585456</v>
      </c>
      <c r="CR9" s="27">
        <v>0.70553897472355431</v>
      </c>
      <c r="CS9" s="27">
        <v>0.78141280191887963</v>
      </c>
      <c r="CT9" s="27">
        <v>0.84103608834398635</v>
      </c>
      <c r="CU9" s="12">
        <v>176.65</v>
      </c>
      <c r="CV9" s="13">
        <f t="shared" si="12"/>
        <v>124.63345988491588</v>
      </c>
      <c r="CW9" s="13">
        <f t="shared" si="22"/>
        <v>138.03657145897009</v>
      </c>
      <c r="CX9" s="13">
        <f t="shared" si="23"/>
        <v>148.56902500596519</v>
      </c>
      <c r="CY9" s="27">
        <v>0.28183246007662099</v>
      </c>
      <c r="CZ9" s="27">
        <v>0.38721065988995668</v>
      </c>
      <c r="DA9" s="27">
        <v>0.48380843565916198</v>
      </c>
      <c r="DB9" s="12">
        <v>142.05000000000001</v>
      </c>
      <c r="DC9" s="13">
        <f t="shared" si="13"/>
        <v>40.034300953884014</v>
      </c>
      <c r="DD9" s="13">
        <f t="shared" si="14"/>
        <v>55.003274237368352</v>
      </c>
      <c r="DE9" s="13">
        <f t="shared" si="15"/>
        <v>68.724988285383972</v>
      </c>
      <c r="DF9" s="27">
        <v>0.61746814287596818</v>
      </c>
      <c r="DG9" s="27">
        <v>0.70707833199729164</v>
      </c>
      <c r="DH9" s="27">
        <v>0.78369411176352322</v>
      </c>
      <c r="DI9" s="12">
        <v>17.850000000000001</v>
      </c>
      <c r="DJ9" s="13">
        <f t="shared" si="16"/>
        <v>11.021806350336034</v>
      </c>
      <c r="DK9" s="13">
        <f t="shared" si="17"/>
        <v>12.621348226151657</v>
      </c>
      <c r="DL9" s="13">
        <f t="shared" si="18"/>
        <v>13.988939894978891</v>
      </c>
      <c r="DM9" s="15"/>
      <c r="DP9" s="12"/>
      <c r="DQ9" s="13"/>
      <c r="DR9" s="13"/>
      <c r="DS9" s="13"/>
      <c r="DW9" s="12"/>
      <c r="DX9" s="13"/>
      <c r="DY9" s="13"/>
      <c r="DZ9" s="13"/>
      <c r="EA9" s="15"/>
      <c r="ED9" s="12"/>
      <c r="EE9" s="13"/>
      <c r="EF9" s="13"/>
      <c r="EG9" s="13"/>
    </row>
    <row r="10" spans="1:137">
      <c r="A10" s="18" t="s">
        <v>10</v>
      </c>
      <c r="B10" s="9">
        <v>0.7276883241265133</v>
      </c>
      <c r="C10" s="27">
        <v>0.39187101455859441</v>
      </c>
      <c r="D10" s="27">
        <v>0.72054375156389305</v>
      </c>
      <c r="E10" s="27">
        <v>0.85501251435553971</v>
      </c>
      <c r="F10" s="11">
        <v>481.70498358984167</v>
      </c>
      <c r="G10" s="12">
        <v>481.8885224484593</v>
      </c>
      <c r="H10" s="13">
        <f t="shared" si="0"/>
        <v>347.22176380059415</v>
      </c>
      <c r="I10" s="13">
        <f t="shared" si="1"/>
        <v>188.76622063728232</v>
      </c>
      <c r="J10" s="14">
        <f t="shared" si="2"/>
        <v>347.08951602284804</v>
      </c>
      <c r="K10" s="14">
        <f t="shared" si="3"/>
        <v>411.86378919674451</v>
      </c>
      <c r="L10" s="15"/>
      <c r="M10" s="9"/>
      <c r="N10" s="15"/>
      <c r="O10" s="12"/>
      <c r="P10" s="13"/>
      <c r="Q10" s="13"/>
      <c r="R10" s="13"/>
      <c r="S10" s="15"/>
      <c r="T10" s="15"/>
      <c r="U10" s="15"/>
      <c r="V10" s="12"/>
      <c r="W10" s="13"/>
      <c r="X10" s="13"/>
      <c r="Y10" s="13"/>
      <c r="Z10" s="15"/>
      <c r="AC10" s="12"/>
      <c r="AD10" s="13"/>
      <c r="AE10" s="13"/>
      <c r="AF10" s="13"/>
      <c r="AG10" s="15"/>
      <c r="AH10" s="15"/>
      <c r="AI10" s="15"/>
      <c r="AJ10" s="12"/>
      <c r="AK10" s="13"/>
      <c r="AL10" s="13"/>
      <c r="AM10" s="13"/>
      <c r="AN10" s="27">
        <v>0.8008280544310088</v>
      </c>
      <c r="AO10" s="27">
        <v>0.86269692006402277</v>
      </c>
      <c r="AP10" s="27">
        <v>0.90746727037053199</v>
      </c>
      <c r="AQ10" s="12">
        <v>42.162317178090049</v>
      </c>
      <c r="AR10" s="13">
        <f t="shared" ref="AR10:AR38" si="28">AN10*AQ10</f>
        <v>33.764766436032957</v>
      </c>
      <c r="AS10" s="13">
        <f>AQ10*AO10</f>
        <v>36.373301172300728</v>
      </c>
      <c r="AT10" s="13">
        <f>AQ10*AP10</f>
        <v>38.260922882097965</v>
      </c>
      <c r="AU10" s="15"/>
      <c r="AV10" s="15"/>
      <c r="AW10" s="15"/>
      <c r="AX10" s="12"/>
      <c r="AY10" s="13"/>
      <c r="AZ10" s="13"/>
      <c r="BA10" s="13"/>
      <c r="BB10" s="15"/>
      <c r="BC10" s="15"/>
      <c r="BD10" s="15"/>
      <c r="BE10" s="12"/>
      <c r="BF10" s="13"/>
      <c r="BG10" s="13"/>
      <c r="BH10" s="13"/>
      <c r="BI10" s="15"/>
      <c r="BJ10" s="15"/>
      <c r="BK10" s="15"/>
      <c r="BL10" s="12"/>
      <c r="BM10" s="13"/>
      <c r="BN10" s="13"/>
      <c r="BO10" s="13"/>
      <c r="BP10" s="27">
        <v>0.68325351603206697</v>
      </c>
      <c r="BQ10" s="27">
        <v>0.76611601325466949</v>
      </c>
      <c r="BR10" s="27">
        <v>0.83186823845309354</v>
      </c>
      <c r="BS10" s="12">
        <v>51.750629321607242</v>
      </c>
      <c r="BT10" s="13">
        <f t="shared" ref="BT10:BT38" si="29">BP10*BS10</f>
        <v>35.358799440860331</v>
      </c>
      <c r="BU10" s="13">
        <f>BS10*BQ10</f>
        <v>39.646985819289945</v>
      </c>
      <c r="BV10" s="13">
        <f>BS10*BR10</f>
        <v>43.049704852604428</v>
      </c>
      <c r="BW10" s="15"/>
      <c r="BX10" s="15"/>
      <c r="BY10" s="15"/>
      <c r="BZ10" s="12"/>
      <c r="CA10" s="13"/>
      <c r="CB10" s="13"/>
      <c r="CC10" s="13"/>
      <c r="CD10" s="27">
        <v>0.37719130858652022</v>
      </c>
      <c r="CE10" s="27">
        <v>0.46573124598043331</v>
      </c>
      <c r="CF10" s="27">
        <v>0.55035470078428639</v>
      </c>
      <c r="CG10" s="12">
        <v>90.464981040690816</v>
      </c>
      <c r="CH10" s="13">
        <f t="shared" si="6"/>
        <v>34.12260457999291</v>
      </c>
      <c r="CI10" s="13">
        <f t="shared" si="7"/>
        <v>42.132368337677207</v>
      </c>
      <c r="CJ10" s="13">
        <f t="shared" si="8"/>
        <v>49.787827572105535</v>
      </c>
      <c r="CK10" s="27">
        <v>0.69213399543868348</v>
      </c>
      <c r="CL10" s="27">
        <v>0.76548019493107011</v>
      </c>
      <c r="CM10" s="27">
        <v>0.8246245959131332</v>
      </c>
      <c r="CN10" s="12">
        <v>32.286827263167957</v>
      </c>
      <c r="CO10" s="13">
        <f t="shared" si="9"/>
        <v>22.346810753695053</v>
      </c>
      <c r="CP10" s="13">
        <f t="shared" si="10"/>
        <v>24.714926827115598</v>
      </c>
      <c r="CQ10" s="13">
        <f t="shared" si="11"/>
        <v>26.62451188520701</v>
      </c>
      <c r="CR10" s="27">
        <v>0.7565966908889461</v>
      </c>
      <c r="CS10" s="27">
        <v>0.81752979027813788</v>
      </c>
      <c r="CT10" s="27">
        <v>0.86474346431370064</v>
      </c>
      <c r="CU10" s="12">
        <v>12.92260140840582</v>
      </c>
      <c r="CV10" s="13">
        <f t="shared" si="12"/>
        <v>9.7771974632766767</v>
      </c>
      <c r="CW10" s="13">
        <f t="shared" si="22"/>
        <v>10.56461161926198</v>
      </c>
      <c r="CX10" s="13">
        <f t="shared" si="23"/>
        <v>11.174735109849955</v>
      </c>
      <c r="CY10" s="15"/>
      <c r="DB10" s="12"/>
      <c r="DC10" s="13"/>
      <c r="DD10" s="13"/>
      <c r="DE10" s="13"/>
      <c r="DF10" s="27">
        <v>0.67829391792288363</v>
      </c>
      <c r="DG10" s="27">
        <v>0.75185233731722101</v>
      </c>
      <c r="DH10" s="27">
        <v>0.81470487809931424</v>
      </c>
      <c r="DI10" s="12">
        <v>211.867173310391</v>
      </c>
      <c r="DJ10" s="13">
        <f t="shared" si="16"/>
        <v>143.70821506395171</v>
      </c>
      <c r="DK10" s="13">
        <f t="shared" si="17"/>
        <v>159.29282945421022</v>
      </c>
      <c r="DL10" s="13">
        <f t="shared" si="18"/>
        <v>172.60921960508838</v>
      </c>
      <c r="DM10" s="15"/>
      <c r="DP10" s="12"/>
      <c r="DQ10" s="13"/>
      <c r="DR10" s="13"/>
      <c r="DS10" s="13"/>
      <c r="DW10" s="12"/>
      <c r="DX10" s="13"/>
      <c r="DY10" s="13"/>
      <c r="DZ10" s="13"/>
      <c r="EA10" s="27">
        <v>0.3631961823100277</v>
      </c>
      <c r="EB10" s="27">
        <v>0.47697080693336241</v>
      </c>
      <c r="EC10" s="27">
        <v>0.57886937448393649</v>
      </c>
      <c r="ED10" s="12">
        <v>40.250454067488761</v>
      </c>
      <c r="EE10" s="13">
        <f t="shared" si="19"/>
        <v>14.618811253557045</v>
      </c>
      <c r="EF10" s="13">
        <f t="shared" si="20"/>
        <v>19.198291556004353</v>
      </c>
      <c r="EG10" s="13">
        <f t="shared" si="21"/>
        <v>23.299755168741637</v>
      </c>
    </row>
    <row r="11" spans="1:137">
      <c r="A11" s="8" t="s">
        <v>11</v>
      </c>
      <c r="B11" s="9">
        <v>0.61556901496778882</v>
      </c>
      <c r="C11" s="27">
        <v>1.6048991457030461E-3</v>
      </c>
      <c r="D11" s="27">
        <v>9.6969402744975786E-2</v>
      </c>
      <c r="E11" s="27">
        <v>0.35308216090433409</v>
      </c>
      <c r="F11" s="11">
        <v>1123.05</v>
      </c>
      <c r="G11" s="12">
        <v>1275.73</v>
      </c>
      <c r="H11" s="13">
        <f t="shared" si="0"/>
        <v>123.70677616384796</v>
      </c>
      <c r="I11" s="13">
        <f t="shared" si="1"/>
        <v>1.802381985581806</v>
      </c>
      <c r="J11" s="14">
        <f t="shared" si="2"/>
        <v>108.90148775274506</v>
      </c>
      <c r="K11" s="14">
        <f t="shared" si="3"/>
        <v>396.52892080361238</v>
      </c>
      <c r="L11" s="15"/>
      <c r="M11" s="9"/>
      <c r="N11" s="15"/>
      <c r="O11" s="12"/>
      <c r="P11" s="13"/>
      <c r="Q11" s="13"/>
      <c r="R11" s="13"/>
      <c r="S11" s="15"/>
      <c r="T11" s="15"/>
      <c r="U11" s="15"/>
      <c r="V11" s="12"/>
      <c r="W11" s="13"/>
      <c r="X11" s="13"/>
      <c r="Y11" s="13"/>
      <c r="Z11" s="27">
        <v>6.8753817415525637E-2</v>
      </c>
      <c r="AA11" s="27">
        <v>0.1216472213007196</v>
      </c>
      <c r="AB11" s="27">
        <v>0.19019086158233969</v>
      </c>
      <c r="AC11" s="12">
        <v>35.5</v>
      </c>
      <c r="AD11" s="13">
        <f>Z11*AC11</f>
        <v>2.4407605182511602</v>
      </c>
      <c r="AE11" s="13">
        <f t="shared" si="25"/>
        <v>4.3184763561755455</v>
      </c>
      <c r="AF11" s="13">
        <f t="shared" si="5"/>
        <v>6.7517755861730588</v>
      </c>
      <c r="AG11" s="15"/>
      <c r="AH11" s="15"/>
      <c r="AI11" s="15"/>
      <c r="AJ11" s="12"/>
      <c r="AK11" s="13"/>
      <c r="AL11" s="13"/>
      <c r="AM11" s="13"/>
      <c r="AN11" s="15"/>
      <c r="AQ11" s="12"/>
      <c r="AR11" s="13"/>
      <c r="AS11" s="13"/>
      <c r="AT11" s="13"/>
      <c r="AU11" s="15"/>
      <c r="AV11" s="15"/>
      <c r="AW11" s="15"/>
      <c r="AX11" s="12"/>
      <c r="AY11" s="13"/>
      <c r="AZ11" s="13"/>
      <c r="BA11" s="13"/>
      <c r="BB11" s="15"/>
      <c r="BC11" s="15"/>
      <c r="BD11" s="15"/>
      <c r="BE11" s="12"/>
      <c r="BF11" s="13"/>
      <c r="BG11" s="13"/>
      <c r="BH11" s="13"/>
      <c r="BI11" s="15"/>
      <c r="BJ11" s="15"/>
      <c r="BK11" s="15"/>
      <c r="BL11" s="12"/>
      <c r="BM11" s="13"/>
      <c r="BN11" s="13"/>
      <c r="BO11" s="13"/>
      <c r="BP11" s="15"/>
      <c r="BS11" s="12"/>
      <c r="BT11" s="13"/>
      <c r="BU11" s="13"/>
      <c r="BV11" s="13"/>
      <c r="BW11" s="15"/>
      <c r="BX11" s="15"/>
      <c r="BY11" s="15"/>
      <c r="BZ11" s="12"/>
      <c r="CA11" s="13"/>
      <c r="CB11" s="13"/>
      <c r="CC11" s="13"/>
      <c r="CD11" s="27">
        <v>4.6945603597586393E-2</v>
      </c>
      <c r="CE11" s="27">
        <v>8.1759937649453107E-2</v>
      </c>
      <c r="CF11" s="27">
        <v>0.1227936432242084</v>
      </c>
      <c r="CG11" s="12">
        <v>180.82</v>
      </c>
      <c r="CH11" s="13">
        <f t="shared" si="6"/>
        <v>8.4887040425155718</v>
      </c>
      <c r="CI11" s="13">
        <f t="shared" si="7"/>
        <v>14.783831925774111</v>
      </c>
      <c r="CJ11" s="13">
        <f t="shared" si="8"/>
        <v>22.203546567801361</v>
      </c>
      <c r="CK11" s="27">
        <v>0.15963749491989951</v>
      </c>
      <c r="CL11" s="27">
        <v>0.25111249983351702</v>
      </c>
      <c r="CM11" s="27">
        <v>0.33789834081454662</v>
      </c>
      <c r="CN11" s="12">
        <v>441.18</v>
      </c>
      <c r="CO11" s="13">
        <f t="shared" si="9"/>
        <v>70.428870008761265</v>
      </c>
      <c r="CP11" s="13">
        <f t="shared" si="10"/>
        <v>110.78581267655105</v>
      </c>
      <c r="CQ11" s="13">
        <f t="shared" si="11"/>
        <v>149.07399000056168</v>
      </c>
      <c r="CR11" s="27">
        <v>0.2085800275359864</v>
      </c>
      <c r="CS11" s="27">
        <v>0.31501697702534848</v>
      </c>
      <c r="CT11" s="27">
        <v>0.40829732192535789</v>
      </c>
      <c r="CU11" s="12">
        <v>78.53</v>
      </c>
      <c r="CV11" s="13">
        <f t="shared" si="12"/>
        <v>16.379789562401012</v>
      </c>
      <c r="CW11" s="13">
        <f t="shared" si="22"/>
        <v>24.738283205800617</v>
      </c>
      <c r="CX11" s="13">
        <f t="shared" si="23"/>
        <v>32.063588690798355</v>
      </c>
      <c r="CY11" s="27">
        <v>4.1489354632329903E-2</v>
      </c>
      <c r="CZ11" s="27">
        <v>7.3890958561657671E-2</v>
      </c>
      <c r="DA11" s="27">
        <v>0.1149033150919718</v>
      </c>
      <c r="DB11" s="12">
        <v>328.82</v>
      </c>
      <c r="DC11" s="13">
        <f t="shared" si="13"/>
        <v>13.642529590202718</v>
      </c>
      <c r="DD11" s="13">
        <f t="shared" si="14"/>
        <v>24.296824994244275</v>
      </c>
      <c r="DE11" s="13">
        <f t="shared" si="15"/>
        <v>37.782508068542164</v>
      </c>
      <c r="DF11" s="27">
        <v>0.14906810957100261</v>
      </c>
      <c r="DG11" s="27">
        <v>0.23746492162359839</v>
      </c>
      <c r="DH11" s="27">
        <v>0.32464879334601388</v>
      </c>
      <c r="DI11" s="12">
        <v>7.5</v>
      </c>
      <c r="DJ11" s="13">
        <f t="shared" si="16"/>
        <v>1.1180108217825195</v>
      </c>
      <c r="DK11" s="13">
        <f t="shared" si="17"/>
        <v>1.7809869121769879</v>
      </c>
      <c r="DL11" s="13">
        <f t="shared" si="18"/>
        <v>2.4348659500951042</v>
      </c>
      <c r="DM11" s="27">
        <v>1.6313140940471679E-4</v>
      </c>
      <c r="DN11" s="27">
        <v>4.0880042982536519E-3</v>
      </c>
      <c r="DO11" s="27">
        <v>2.0162729143731409E-2</v>
      </c>
      <c r="DP11" s="12">
        <v>32</v>
      </c>
      <c r="DQ11" s="13">
        <f t="shared" si="24"/>
        <v>5.2202051009509372E-3</v>
      </c>
      <c r="DR11" s="13">
        <f t="shared" si="26"/>
        <v>0.13081613754411686</v>
      </c>
      <c r="DS11" s="13">
        <f t="shared" si="27"/>
        <v>0.6452073325994051</v>
      </c>
      <c r="DW11" s="12"/>
      <c r="DX11" s="13"/>
      <c r="DY11" s="13"/>
      <c r="DZ11" s="13"/>
      <c r="EA11" s="27">
        <v>4.5330248402243527E-2</v>
      </c>
      <c r="EB11" s="27">
        <v>8.5115332338887351E-2</v>
      </c>
      <c r="EC11" s="27">
        <v>0.13512955816278699</v>
      </c>
      <c r="ED11" s="12">
        <v>18.7</v>
      </c>
      <c r="EE11" s="13">
        <f t="shared" si="19"/>
        <v>0.84767564512195392</v>
      </c>
      <c r="EF11" s="13">
        <f t="shared" si="20"/>
        <v>1.5916567147371934</v>
      </c>
      <c r="EG11" s="13">
        <f t="shared" si="21"/>
        <v>2.5269227376441168</v>
      </c>
    </row>
    <row r="12" spans="1:137">
      <c r="A12" s="8" t="s">
        <v>12</v>
      </c>
      <c r="B12" s="9">
        <v>-0.52847475385239717</v>
      </c>
      <c r="C12" s="27">
        <v>1.7937224263772371E-3</v>
      </c>
      <c r="D12" s="27">
        <v>8.9453298610378512E-2</v>
      </c>
      <c r="E12" s="27">
        <v>0.31839071792794571</v>
      </c>
      <c r="F12" s="11">
        <v>1041.1658649176286</v>
      </c>
      <c r="G12" s="12">
        <v>1234.8480772458954</v>
      </c>
      <c r="H12" s="13">
        <f t="shared" si="0"/>
        <v>110.46123379232883</v>
      </c>
      <c r="I12" s="13">
        <f t="shared" si="1"/>
        <v>1.8675625614812035</v>
      </c>
      <c r="J12" s="14">
        <f t="shared" si="2"/>
        <v>93.135721017409651</v>
      </c>
      <c r="K12" s="14">
        <f t="shared" si="3"/>
        <v>331.49754721319431</v>
      </c>
      <c r="L12" s="15"/>
      <c r="M12" s="9"/>
      <c r="N12" s="15"/>
      <c r="O12" s="12"/>
      <c r="P12" s="13"/>
      <c r="Q12" s="13"/>
      <c r="R12" s="13"/>
      <c r="S12" s="15"/>
      <c r="T12" s="15"/>
      <c r="U12" s="15"/>
      <c r="V12" s="12"/>
      <c r="W12" s="13"/>
      <c r="X12" s="13"/>
      <c r="Y12" s="13"/>
      <c r="Z12" s="27">
        <v>4.745977009653668E-2</v>
      </c>
      <c r="AA12" s="27">
        <v>0.101347919023452</v>
      </c>
      <c r="AB12" s="27">
        <v>0.16389659640243839</v>
      </c>
      <c r="AC12" s="19">
        <v>88.248337827600011</v>
      </c>
      <c r="AD12" s="13">
        <f>Z12*AC12</f>
        <v>4.1882458246993979</v>
      </c>
      <c r="AE12" s="13">
        <f t="shared" si="25"/>
        <v>8.9437853961058416</v>
      </c>
      <c r="AF12" s="13">
        <f t="shared" si="5"/>
        <v>14.463602208116196</v>
      </c>
      <c r="AG12" s="15"/>
      <c r="AH12" s="15"/>
      <c r="AI12" s="15"/>
      <c r="AJ12" s="12"/>
      <c r="AK12" s="13"/>
      <c r="AL12" s="13"/>
      <c r="AM12" s="13"/>
      <c r="AN12" s="16"/>
      <c r="AO12" s="17"/>
      <c r="AP12" s="17"/>
      <c r="AQ12" s="20">
        <v>23.011445394285712</v>
      </c>
      <c r="AR12" s="16"/>
      <c r="AS12" s="16"/>
      <c r="AT12" s="16"/>
      <c r="AU12" s="15"/>
      <c r="AV12" s="15"/>
      <c r="AW12" s="15"/>
      <c r="AX12" s="12"/>
      <c r="AY12" s="13"/>
      <c r="AZ12" s="13"/>
      <c r="BA12" s="13"/>
      <c r="BB12" s="15"/>
      <c r="BC12" s="15"/>
      <c r="BD12" s="15"/>
      <c r="BE12" s="12"/>
      <c r="BF12" s="13"/>
      <c r="BG12" s="13"/>
      <c r="BH12" s="13"/>
      <c r="BI12" s="15"/>
      <c r="BJ12" s="15"/>
      <c r="BK12" s="15"/>
      <c r="BL12" s="12"/>
      <c r="BM12" s="13"/>
      <c r="BN12" s="13"/>
      <c r="BO12" s="13"/>
      <c r="BP12" s="15"/>
      <c r="BS12" s="12"/>
      <c r="BT12" s="13"/>
      <c r="BU12" s="13"/>
      <c r="BV12" s="13"/>
      <c r="BW12" s="15"/>
      <c r="BX12" s="15"/>
      <c r="BY12" s="15"/>
      <c r="BZ12" s="12"/>
      <c r="CA12" s="13"/>
      <c r="CB12" s="13"/>
      <c r="CC12" s="13"/>
      <c r="CD12" s="27">
        <v>3.1461140202636122E-2</v>
      </c>
      <c r="CE12" s="27">
        <v>6.7499058238125714E-2</v>
      </c>
      <c r="CF12" s="27">
        <v>0.10773229008921149</v>
      </c>
      <c r="CG12" s="19">
        <v>479.57936434951432</v>
      </c>
      <c r="CH12" s="13">
        <f t="shared" si="6"/>
        <v>15.088113620091182</v>
      </c>
      <c r="CI12" s="13">
        <f t="shared" si="7"/>
        <v>32.371155444031182</v>
      </c>
      <c r="CJ12" s="13">
        <f t="shared" si="8"/>
        <v>51.666183200901528</v>
      </c>
      <c r="CK12" s="28">
        <v>0.10867125627166389</v>
      </c>
      <c r="CL12" s="28">
        <v>0.21339257480179269</v>
      </c>
      <c r="CM12" s="28">
        <v>0.30834572318081538</v>
      </c>
      <c r="CN12" s="20"/>
      <c r="CO12" s="16"/>
      <c r="CP12" s="16"/>
      <c r="CQ12" s="16"/>
      <c r="CR12" s="27">
        <v>0.14430500868377549</v>
      </c>
      <c r="CS12" s="27">
        <v>0.2727501310885872</v>
      </c>
      <c r="CT12" s="27">
        <v>0.38004666027889239</v>
      </c>
      <c r="CU12" s="19">
        <v>26.132707885428569</v>
      </c>
      <c r="CV12" s="13">
        <f t="shared" si="12"/>
        <v>3.7710806383373381</v>
      </c>
      <c r="CW12" s="13">
        <f t="shared" si="22"/>
        <v>7.1276995014503983</v>
      </c>
      <c r="CX12" s="13">
        <f t="shared" si="23"/>
        <v>9.9316483559010038</v>
      </c>
      <c r="CY12" s="27">
        <v>2.8036011651352211E-2</v>
      </c>
      <c r="CZ12" s="27">
        <v>6.146584038569021E-2</v>
      </c>
      <c r="DA12" s="27">
        <v>0.1001693040209698</v>
      </c>
      <c r="DB12" s="19">
        <v>437.9284988009905</v>
      </c>
      <c r="DC12" s="13">
        <f t="shared" si="13"/>
        <v>12.277768494843752</v>
      </c>
      <c r="DD12" s="13">
        <f t="shared" si="14"/>
        <v>26.917643207646609</v>
      </c>
      <c r="DE12" s="13">
        <f t="shared" si="15"/>
        <v>43.866992935843321</v>
      </c>
      <c r="DF12" s="27">
        <v>9.8661111586748715E-2</v>
      </c>
      <c r="DG12" s="27">
        <v>0.20295535285997399</v>
      </c>
      <c r="DH12" s="27">
        <v>0.29764962717565469</v>
      </c>
      <c r="DI12" s="19">
        <v>9.2769560540952387</v>
      </c>
      <c r="DJ12" s="13">
        <f t="shared" si="16"/>
        <v>0.91527479643845444</v>
      </c>
      <c r="DK12" s="13">
        <f t="shared" si="17"/>
        <v>1.882807889425371</v>
      </c>
      <c r="DL12" s="13">
        <f t="shared" si="18"/>
        <v>2.7612825108263803</v>
      </c>
      <c r="DM12" s="28">
        <v>1.2568740883898771E-4</v>
      </c>
      <c r="DN12" s="28">
        <v>3.204736436071433E-3</v>
      </c>
      <c r="DO12" s="28">
        <v>1.6599534725884321E-2</v>
      </c>
      <c r="DP12" s="16"/>
      <c r="DQ12" s="16"/>
      <c r="DR12" s="16"/>
      <c r="DS12" s="16"/>
      <c r="DW12" s="12"/>
      <c r="DX12" s="13"/>
      <c r="DY12" s="13"/>
      <c r="DZ12" s="13"/>
      <c r="EA12" s="15"/>
      <c r="ED12" s="12"/>
      <c r="EE12" s="13"/>
      <c r="EF12" s="13"/>
      <c r="EG12" s="13"/>
    </row>
    <row r="13" spans="1:137">
      <c r="A13" s="8" t="s">
        <v>13</v>
      </c>
      <c r="B13" s="9">
        <v>2.0316999639270188</v>
      </c>
      <c r="C13" s="27">
        <v>0.48649291682855011</v>
      </c>
      <c r="D13" s="27">
        <v>0.65099469002522259</v>
      </c>
      <c r="E13" s="27">
        <v>0.89038413428408769</v>
      </c>
      <c r="F13" s="11">
        <v>446.23</v>
      </c>
      <c r="G13" s="12">
        <v>478.84000000000003</v>
      </c>
      <c r="H13" s="13">
        <f t="shared" si="0"/>
        <v>311.7222973716776</v>
      </c>
      <c r="I13" s="13">
        <f t="shared" si="1"/>
        <v>217.08773427640392</v>
      </c>
      <c r="J13" s="14">
        <f t="shared" si="2"/>
        <v>290.49336052995511</v>
      </c>
      <c r="K13" s="14">
        <f t="shared" si="3"/>
        <v>397.31611224158848</v>
      </c>
      <c r="L13" s="15"/>
      <c r="M13" s="9"/>
      <c r="N13" s="15"/>
      <c r="O13" s="12"/>
      <c r="P13" s="13"/>
      <c r="Q13" s="13"/>
      <c r="R13" s="13"/>
      <c r="S13" s="15"/>
      <c r="T13" s="15"/>
      <c r="U13" s="15"/>
      <c r="V13" s="12"/>
      <c r="W13" s="13"/>
      <c r="X13" s="13"/>
      <c r="Y13" s="13"/>
      <c r="Z13" s="15"/>
      <c r="AC13" s="12"/>
      <c r="AD13" s="13"/>
      <c r="AE13" s="13"/>
      <c r="AF13" s="13"/>
      <c r="AG13" s="15"/>
      <c r="AH13" s="15"/>
      <c r="AI13" s="15"/>
      <c r="AJ13" s="12"/>
      <c r="AK13" s="13"/>
      <c r="AL13" s="13"/>
      <c r="AM13" s="13"/>
      <c r="AN13" s="15"/>
      <c r="AQ13" s="12"/>
      <c r="AR13" s="13"/>
      <c r="AS13" s="13"/>
      <c r="AT13" s="13"/>
      <c r="AU13" s="15"/>
      <c r="AV13" s="15"/>
      <c r="AW13" s="15"/>
      <c r="AX13" s="12"/>
      <c r="AY13" s="13"/>
      <c r="AZ13" s="13"/>
      <c r="BA13" s="13"/>
      <c r="BB13" s="15"/>
      <c r="BC13" s="15"/>
      <c r="BD13" s="15"/>
      <c r="BE13" s="12"/>
      <c r="BF13" s="13"/>
      <c r="BG13" s="13"/>
      <c r="BH13" s="13"/>
      <c r="BI13" s="15"/>
      <c r="BJ13" s="15"/>
      <c r="BK13" s="15"/>
      <c r="BL13" s="12"/>
      <c r="BM13" s="13"/>
      <c r="BN13" s="13"/>
      <c r="BO13" s="13"/>
      <c r="BP13" s="15"/>
      <c r="BS13" s="12"/>
      <c r="BT13" s="13"/>
      <c r="BU13" s="13"/>
      <c r="BV13" s="13"/>
      <c r="BW13" s="15"/>
      <c r="BX13" s="15"/>
      <c r="BY13" s="15"/>
      <c r="BZ13" s="12"/>
      <c r="CA13" s="13"/>
      <c r="CB13" s="13"/>
      <c r="CC13" s="13"/>
      <c r="CD13" s="27">
        <v>0.49001842533455658</v>
      </c>
      <c r="CE13" s="27">
        <v>0.60489786240918086</v>
      </c>
      <c r="CF13" s="27">
        <v>0.70909167153370045</v>
      </c>
      <c r="CG13" s="12">
        <v>169.83000000000004</v>
      </c>
      <c r="CH13" s="13">
        <f t="shared" si="6"/>
        <v>83.219829174567764</v>
      </c>
      <c r="CI13" s="13">
        <f t="shared" si="7"/>
        <v>102.72980397295122</v>
      </c>
      <c r="CJ13" s="13">
        <f t="shared" si="8"/>
        <v>120.42503857656838</v>
      </c>
      <c r="CK13" s="27">
        <v>0.78268990183263798</v>
      </c>
      <c r="CL13" s="27">
        <v>0.85088412541375114</v>
      </c>
      <c r="CM13" s="27">
        <v>0.9016693852765838</v>
      </c>
      <c r="CN13" s="12">
        <v>126.21</v>
      </c>
      <c r="CO13" s="13">
        <f t="shared" si="9"/>
        <v>98.78329251029723</v>
      </c>
      <c r="CP13" s="13">
        <f t="shared" si="10"/>
        <v>107.39008546846952</v>
      </c>
      <c r="CQ13" s="13">
        <f t="shared" si="11"/>
        <v>113.79969311575763</v>
      </c>
      <c r="CR13" s="15"/>
      <c r="CU13" s="12"/>
      <c r="CV13" s="13"/>
      <c r="CW13" s="13"/>
      <c r="CX13" s="13"/>
      <c r="CY13" s="27">
        <v>0.46035230124396259</v>
      </c>
      <c r="CZ13" s="27">
        <v>0.58048831041849169</v>
      </c>
      <c r="DA13" s="27">
        <v>0.68845673304148303</v>
      </c>
      <c r="DB13" s="12">
        <v>148.31</v>
      </c>
      <c r="DC13" s="13">
        <f t="shared" si="13"/>
        <v>68.274849797492095</v>
      </c>
      <c r="DD13" s="13">
        <f t="shared" si="14"/>
        <v>86.092221318166509</v>
      </c>
      <c r="DE13" s="13">
        <f t="shared" si="15"/>
        <v>102.10501807738235</v>
      </c>
      <c r="DF13" s="27">
        <v>0.76697231652363806</v>
      </c>
      <c r="DG13" s="27">
        <v>0.84176851112665951</v>
      </c>
      <c r="DH13" s="27">
        <v>0.89763531529989626</v>
      </c>
      <c r="DI13" s="12">
        <v>1.88</v>
      </c>
      <c r="DJ13" s="13">
        <f t="shared" si="16"/>
        <v>1.4419079550644396</v>
      </c>
      <c r="DK13" s="13">
        <f t="shared" si="17"/>
        <v>1.5825248009181199</v>
      </c>
      <c r="DL13" s="13">
        <f t="shared" si="18"/>
        <v>1.6875543927638048</v>
      </c>
      <c r="DM13" s="15"/>
      <c r="DP13" s="12"/>
      <c r="DQ13" s="13"/>
      <c r="DR13" s="13"/>
      <c r="DS13" s="13"/>
      <c r="DW13" s="12"/>
      <c r="DX13" s="13"/>
      <c r="DY13" s="13"/>
      <c r="DZ13" s="13"/>
      <c r="EA13" s="15"/>
      <c r="ED13" s="12"/>
      <c r="EE13" s="13"/>
      <c r="EF13" s="13"/>
      <c r="EG13" s="13"/>
    </row>
    <row r="14" spans="1:137">
      <c r="A14" s="8" t="s">
        <v>14</v>
      </c>
      <c r="B14" s="9">
        <v>-1.675538585002273</v>
      </c>
      <c r="C14" s="27">
        <v>4.9085538956183798E-4</v>
      </c>
      <c r="D14" s="27">
        <v>5.6130249759432191E-2</v>
      </c>
      <c r="E14" s="27">
        <v>0.30115168469227871</v>
      </c>
      <c r="F14" s="11">
        <v>1358.8899999999999</v>
      </c>
      <c r="G14" s="12">
        <v>1425.75</v>
      </c>
      <c r="H14" s="13">
        <f t="shared" si="0"/>
        <v>80.027703594510442</v>
      </c>
      <c r="I14" s="13">
        <f t="shared" si="1"/>
        <v>0.66701848032168598</v>
      </c>
      <c r="J14" s="14">
        <f t="shared" si="2"/>
        <v>76.27483509559481</v>
      </c>
      <c r="K14" s="14">
        <f t="shared" si="3"/>
        <v>409.23201281149056</v>
      </c>
      <c r="L14" s="15"/>
      <c r="M14" s="9"/>
      <c r="N14" s="15"/>
      <c r="O14" s="12"/>
      <c r="P14" s="13"/>
      <c r="Q14" s="13"/>
      <c r="R14" s="13"/>
      <c r="S14" s="15"/>
      <c r="T14" s="15"/>
      <c r="U14" s="15"/>
      <c r="V14" s="12"/>
      <c r="W14" s="13"/>
      <c r="X14" s="13"/>
      <c r="Y14" s="13"/>
      <c r="Z14" s="15"/>
      <c r="AC14" s="12"/>
      <c r="AD14" s="13"/>
      <c r="AE14" s="13"/>
      <c r="AF14" s="13"/>
      <c r="AG14" s="15"/>
      <c r="AH14" s="15"/>
      <c r="AI14" s="15"/>
      <c r="AJ14" s="12"/>
      <c r="AK14" s="13"/>
      <c r="AL14" s="13"/>
      <c r="AM14" s="13"/>
      <c r="AN14" s="15"/>
      <c r="AQ14" s="12"/>
      <c r="AR14" s="13"/>
      <c r="AS14" s="13"/>
      <c r="AT14" s="13"/>
      <c r="AU14" s="15"/>
      <c r="AV14" s="15"/>
      <c r="AW14" s="15"/>
      <c r="AX14" s="12"/>
      <c r="AY14" s="13"/>
      <c r="AZ14" s="13"/>
      <c r="BA14" s="13"/>
      <c r="BB14" s="15"/>
      <c r="BC14" s="15"/>
      <c r="BD14" s="15"/>
      <c r="BE14" s="12"/>
      <c r="BF14" s="13"/>
      <c r="BG14" s="13"/>
      <c r="BH14" s="13"/>
      <c r="BI14" s="15"/>
      <c r="BJ14" s="15"/>
      <c r="BK14" s="15"/>
      <c r="BL14" s="12"/>
      <c r="BM14" s="13"/>
      <c r="BN14" s="13"/>
      <c r="BO14" s="13"/>
      <c r="BP14" s="15"/>
      <c r="BS14" s="12"/>
      <c r="BT14" s="13"/>
      <c r="BU14" s="13"/>
      <c r="BV14" s="13"/>
      <c r="BW14" s="15"/>
      <c r="BX14" s="15"/>
      <c r="BY14" s="15"/>
      <c r="BZ14" s="12"/>
      <c r="CA14" s="13"/>
      <c r="CB14" s="13"/>
      <c r="CC14" s="13"/>
      <c r="CD14" s="27">
        <v>8.1232279275615989E-3</v>
      </c>
      <c r="CE14" s="27">
        <v>4.869296319830934E-2</v>
      </c>
      <c r="CF14" s="27">
        <v>0.1187742775405196</v>
      </c>
      <c r="CG14" s="12">
        <v>392.44000000000005</v>
      </c>
      <c r="CH14" s="13">
        <f t="shared" si="6"/>
        <v>3.1878795678922742</v>
      </c>
      <c r="CI14" s="13">
        <f t="shared" si="7"/>
        <v>19.10906647754452</v>
      </c>
      <c r="CJ14" s="13">
        <f t="shared" si="8"/>
        <v>46.611777478001521</v>
      </c>
      <c r="CK14" s="27">
        <v>2.9584992193529551E-2</v>
      </c>
      <c r="CL14" s="27">
        <v>0.16216724106973859</v>
      </c>
      <c r="CM14" s="27">
        <v>0.33832650253096269</v>
      </c>
      <c r="CN14" s="12">
        <v>571.55999999999995</v>
      </c>
      <c r="CO14" s="13">
        <f t="shared" si="9"/>
        <v>16.909598138133749</v>
      </c>
      <c r="CP14" s="13">
        <f t="shared" si="10"/>
        <v>92.688308305819788</v>
      </c>
      <c r="CQ14" s="13">
        <f t="shared" si="11"/>
        <v>193.37389578659702</v>
      </c>
      <c r="CR14" s="27">
        <v>3.8946647219544793E-2</v>
      </c>
      <c r="CS14" s="27">
        <v>0.20969261924386329</v>
      </c>
      <c r="CT14" s="27">
        <v>0.41406685835620838</v>
      </c>
      <c r="CU14" s="12">
        <v>72.36</v>
      </c>
      <c r="CV14" s="13">
        <f t="shared" si="12"/>
        <v>2.8181793928062611</v>
      </c>
      <c r="CW14" s="13">
        <f t="shared" si="22"/>
        <v>15.173357928485947</v>
      </c>
      <c r="CX14" s="13">
        <f t="shared" si="23"/>
        <v>29.96187787065524</v>
      </c>
      <c r="CY14" s="27">
        <v>7.1849686164904888E-3</v>
      </c>
      <c r="CZ14" s="27">
        <v>4.3964648359226317E-2</v>
      </c>
      <c r="DA14" s="27">
        <v>0.1117552080332012</v>
      </c>
      <c r="DB14" s="12">
        <v>272.27999999999997</v>
      </c>
      <c r="DC14" s="13">
        <f t="shared" si="13"/>
        <v>1.9563232548980301</v>
      </c>
      <c r="DD14" s="13">
        <f t="shared" si="14"/>
        <v>11.97069445525014</v>
      </c>
      <c r="DE14" s="13">
        <f t="shared" si="15"/>
        <v>30.428708043280018</v>
      </c>
      <c r="DF14" s="27">
        <v>2.6631975209050581E-2</v>
      </c>
      <c r="DG14" s="27">
        <v>0.1524828394816212</v>
      </c>
      <c r="DH14" s="27">
        <v>0.32940937351729033</v>
      </c>
      <c r="DI14" s="12">
        <v>15.19</v>
      </c>
      <c r="DJ14" s="13">
        <f t="shared" si="16"/>
        <v>0.40453970342547829</v>
      </c>
      <c r="DK14" s="13">
        <f t="shared" si="17"/>
        <v>2.3162143317258259</v>
      </c>
      <c r="DL14" s="13">
        <f t="shared" si="18"/>
        <v>5.0037283837276396</v>
      </c>
      <c r="DM14" s="27">
        <v>5.9884105134389453E-5</v>
      </c>
      <c r="DN14" s="27">
        <v>2.141695457468023E-3</v>
      </c>
      <c r="DO14" s="27">
        <v>1.6516949716498631E-2</v>
      </c>
      <c r="DP14" s="12">
        <v>35.06</v>
      </c>
      <c r="DQ14" s="13">
        <f t="shared" si="24"/>
        <v>2.0995367260116943E-3</v>
      </c>
      <c r="DR14" s="13">
        <f t="shared" si="26"/>
        <v>7.5087842738828889E-2</v>
      </c>
      <c r="DS14" s="13">
        <f t="shared" si="27"/>
        <v>0.57908425706044209</v>
      </c>
      <c r="DW14" s="12"/>
      <c r="DX14" s="13"/>
      <c r="DY14" s="13"/>
      <c r="DZ14" s="13"/>
      <c r="EA14" s="15"/>
      <c r="ED14" s="12"/>
      <c r="EE14" s="13"/>
      <c r="EF14" s="13"/>
      <c r="EG14" s="13"/>
    </row>
    <row r="15" spans="1:137" ht="13.5" customHeight="1">
      <c r="A15" s="18" t="s">
        <v>15</v>
      </c>
      <c r="B15" s="9">
        <v>0.66365332997471638</v>
      </c>
      <c r="C15" s="27">
        <v>1.265386280894169E-2</v>
      </c>
      <c r="D15" s="27">
        <v>0.4215688067926629</v>
      </c>
      <c r="E15" s="27">
        <v>0.96132647434615004</v>
      </c>
      <c r="F15" s="11">
        <v>207.19713779128674</v>
      </c>
      <c r="G15" s="12">
        <v>207.19713779128679</v>
      </c>
      <c r="H15" s="13">
        <f t="shared" si="0"/>
        <v>87.34785014952773</v>
      </c>
      <c r="I15" s="13">
        <f t="shared" si="1"/>
        <v>2.6218441560163299</v>
      </c>
      <c r="J15" s="14">
        <f t="shared" si="2"/>
        <v>87.347850149527716</v>
      </c>
      <c r="K15" s="14">
        <f t="shared" si="3"/>
        <v>199.18409396751113</v>
      </c>
      <c r="L15" s="27">
        <v>9.0450976058995209E-4</v>
      </c>
      <c r="M15" s="27">
        <v>3.5799917344817023E-2</v>
      </c>
      <c r="N15" s="27">
        <v>0.13777967131141791</v>
      </c>
      <c r="O15" s="12">
        <v>0.14977203647416409</v>
      </c>
      <c r="P15" s="13">
        <f>L15*O15</f>
        <v>1.3547026885431574E-4</v>
      </c>
      <c r="Q15" s="13">
        <f>O15*M15</f>
        <v>5.3618265263399951E-3</v>
      </c>
      <c r="R15" s="13">
        <f>O15*N15</f>
        <v>2.0635541957052025E-2</v>
      </c>
      <c r="S15" s="27">
        <v>0.73073264968091334</v>
      </c>
      <c r="T15" s="27">
        <v>0.90021137835129439</v>
      </c>
      <c r="U15" s="27">
        <v>0.99657150050374621</v>
      </c>
      <c r="V15" s="12">
        <v>15.859827760891591</v>
      </c>
      <c r="W15" s="13">
        <f>S15*V15</f>
        <v>11.58929396319922</v>
      </c>
      <c r="X15" s="13">
        <f>V15*T15</f>
        <v>14.277197409046343</v>
      </c>
      <c r="Y15" s="13">
        <f>V15*U15</f>
        <v>15.805452349402701</v>
      </c>
      <c r="Z15" s="15"/>
      <c r="AC15" s="12"/>
      <c r="AD15" s="13"/>
      <c r="AE15" s="13"/>
      <c r="AF15" s="13"/>
      <c r="AG15" s="27">
        <v>0.43655398138368301</v>
      </c>
      <c r="AH15" s="27">
        <v>0.53954967768306483</v>
      </c>
      <c r="AI15" s="27">
        <v>0.67795659061548486</v>
      </c>
      <c r="AJ15" s="12">
        <v>9.7891843971631207</v>
      </c>
      <c r="AK15" s="13">
        <f t="shared" ref="AK15:AK30" si="30">AG15*AJ15</f>
        <v>4.2735074230805896</v>
      </c>
      <c r="AL15" s="13">
        <f>AJ15*AH15</f>
        <v>5.2817512862694489</v>
      </c>
      <c r="AM15" s="13">
        <f>AJ15*AI15</f>
        <v>6.63664207880701</v>
      </c>
      <c r="AN15" s="27">
        <v>0.39268119229687942</v>
      </c>
      <c r="AO15" s="27">
        <v>0.48254931124351802</v>
      </c>
      <c r="AP15" s="27">
        <v>0.57477768862533618</v>
      </c>
      <c r="AQ15" s="12">
        <v>6.5228216818642348</v>
      </c>
      <c r="AR15" s="13">
        <f t="shared" si="28"/>
        <v>2.561389395174384</v>
      </c>
      <c r="AS15" s="13">
        <f t="shared" ref="AS15:AS38" si="31">AQ15*AO15</f>
        <v>3.1475831099478722</v>
      </c>
      <c r="AT15" s="13">
        <f t="shared" ref="AT15:AT38" si="32">AQ15*AP15</f>
        <v>3.7491723696171526</v>
      </c>
      <c r="AU15" s="15"/>
      <c r="AV15" s="15"/>
      <c r="AW15" s="15"/>
      <c r="AX15" s="12"/>
      <c r="AY15" s="13"/>
      <c r="AZ15" s="13"/>
      <c r="BA15" s="13"/>
      <c r="BB15" s="27">
        <v>0.34887309741011402</v>
      </c>
      <c r="BC15" s="27">
        <v>0.4480092481800278</v>
      </c>
      <c r="BD15" s="27">
        <v>0.5384638545876137</v>
      </c>
      <c r="BE15" s="12">
        <v>2.464665653495441</v>
      </c>
      <c r="BF15" s="13">
        <f t="shared" ref="BF15:BF38" si="33">BB15*BE15</f>
        <v>0.85985554061527736</v>
      </c>
      <c r="BG15" s="13">
        <f>BE15*BC15</f>
        <v>1.1041930064376295</v>
      </c>
      <c r="BH15" s="13">
        <f>BE15*BD15</f>
        <v>1.327133368050855</v>
      </c>
      <c r="BI15" s="15"/>
      <c r="BJ15" s="15"/>
      <c r="BK15" s="15"/>
      <c r="BL15" s="12"/>
      <c r="BM15" s="13"/>
      <c r="BN15" s="13"/>
      <c r="BO15" s="13"/>
      <c r="BP15" s="27">
        <v>0.24756137212604781</v>
      </c>
      <c r="BQ15" s="27">
        <v>0.32930171297119393</v>
      </c>
      <c r="BR15" s="27">
        <v>0.41237909374499448</v>
      </c>
      <c r="BS15" s="12">
        <v>171.25899189463021</v>
      </c>
      <c r="BT15" s="13">
        <f t="shared" si="29"/>
        <v>42.397111022358359</v>
      </c>
      <c r="BU15" s="13">
        <f t="shared" ref="BU15:BU38" si="34">BS15*BQ15</f>
        <v>56.395879392621545</v>
      </c>
      <c r="BV15" s="13">
        <f t="shared" ref="BV15:BV38" si="35">BS15*BR15</f>
        <v>70.623627873188966</v>
      </c>
      <c r="BW15" s="27">
        <v>4.9573158135081348E-2</v>
      </c>
      <c r="BX15" s="27">
        <v>0.10029647054130129</v>
      </c>
      <c r="BY15" s="27">
        <v>0.1677899633136033</v>
      </c>
      <c r="BZ15" s="12">
        <v>1.039412360688956</v>
      </c>
      <c r="CA15" s="13">
        <f t="shared" ref="CA15:CA38" si="36">BW15*BZ15</f>
        <v>5.1526953323991827E-2</v>
      </c>
      <c r="CB15" s="13">
        <f>BZ15*BX15</f>
        <v>0.10424939121410431</v>
      </c>
      <c r="CC15" s="13">
        <f>BZ15*BY15</f>
        <v>0.17440296186770574</v>
      </c>
      <c r="CD15" s="15"/>
      <c r="CG15" s="12"/>
      <c r="CH15" s="13"/>
      <c r="CI15" s="13"/>
      <c r="CJ15" s="13"/>
      <c r="CK15" s="15"/>
      <c r="CN15" s="12"/>
      <c r="CO15" s="13"/>
      <c r="CP15" s="13"/>
      <c r="CQ15" s="13"/>
      <c r="CR15" s="27">
        <v>0.31800754321053459</v>
      </c>
      <c r="CS15" s="27">
        <v>0.39985256827571281</v>
      </c>
      <c r="CT15" s="27">
        <v>0.483687326889566</v>
      </c>
      <c r="CU15" s="12">
        <v>0.1124620060790273</v>
      </c>
      <c r="CV15" s="13">
        <f t="shared" si="12"/>
        <v>3.5763766257719681E-2</v>
      </c>
      <c r="CW15" s="13">
        <f t="shared" si="22"/>
        <v>4.496822196413789E-2</v>
      </c>
      <c r="CX15" s="13">
        <f t="shared" si="23"/>
        <v>5.4396447097002837E-2</v>
      </c>
      <c r="CY15" s="15"/>
      <c r="DB15" s="12"/>
      <c r="DC15" s="13"/>
      <c r="DD15" s="13"/>
      <c r="DE15" s="13"/>
      <c r="DF15" s="15"/>
      <c r="DI15" s="12"/>
      <c r="DJ15" s="13"/>
      <c r="DK15" s="13"/>
      <c r="DL15" s="13"/>
      <c r="DM15" s="15"/>
      <c r="DP15" s="12"/>
      <c r="DQ15" s="13"/>
      <c r="DR15" s="13"/>
      <c r="DS15" s="13"/>
      <c r="DW15" s="12"/>
      <c r="DX15" s="13"/>
      <c r="DY15" s="13"/>
      <c r="DZ15" s="13"/>
      <c r="EA15" s="15"/>
      <c r="ED15" s="12"/>
      <c r="EE15" s="13"/>
      <c r="EF15" s="13"/>
      <c r="EG15" s="13"/>
    </row>
    <row r="16" spans="1:137">
      <c r="A16" s="8" t="s">
        <v>16</v>
      </c>
      <c r="B16" s="9">
        <v>-6.0660332268881518</v>
      </c>
      <c r="C16" s="27">
        <v>7.1390833644246712E-5</v>
      </c>
      <c r="D16" s="27">
        <v>7.3189711632606746E-3</v>
      </c>
      <c r="E16" s="27">
        <v>7.9763626266655785E-2</v>
      </c>
      <c r="F16" s="11">
        <v>2816.67</v>
      </c>
      <c r="G16" s="12">
        <v>3657.23</v>
      </c>
      <c r="H16" s="13">
        <f t="shared" si="0"/>
        <v>26.767160907411839</v>
      </c>
      <c r="I16" s="13">
        <f t="shared" si="1"/>
        <v>0.2010844194007404</v>
      </c>
      <c r="J16" s="14">
        <f t="shared" si="2"/>
        <v>20.615126506421444</v>
      </c>
      <c r="K16" s="14">
        <f t="shared" si="3"/>
        <v>224.66781319650136</v>
      </c>
      <c r="O16" s="12"/>
      <c r="P16" s="13"/>
      <c r="Q16" s="13"/>
      <c r="R16" s="13"/>
      <c r="V16" s="12"/>
      <c r="W16" s="13"/>
      <c r="X16" s="13"/>
      <c r="Y16" s="13"/>
      <c r="Z16" s="27">
        <v>9.7058952238322587E-4</v>
      </c>
      <c r="AA16" s="27">
        <v>9.4477712245580759E-3</v>
      </c>
      <c r="AB16" s="27">
        <v>5.0560642876857437E-2</v>
      </c>
      <c r="AC16" s="12">
        <v>23.1</v>
      </c>
      <c r="AD16" s="13">
        <f>Z16*AC16</f>
        <v>2.2420617967052518E-2</v>
      </c>
      <c r="AE16" s="13">
        <f t="shared" si="25"/>
        <v>0.21824351528729158</v>
      </c>
      <c r="AF16" s="13">
        <f t="shared" si="5"/>
        <v>1.1679508504554068</v>
      </c>
      <c r="AG16" s="15"/>
      <c r="AJ16" s="12"/>
      <c r="AK16" s="13"/>
      <c r="AL16" s="13"/>
      <c r="AM16" s="13"/>
      <c r="AN16" s="15"/>
      <c r="AQ16" s="12"/>
      <c r="AR16" s="13"/>
      <c r="AS16" s="13"/>
      <c r="AT16" s="13"/>
      <c r="AU16" s="15"/>
      <c r="AV16" s="15"/>
      <c r="AW16" s="15"/>
      <c r="AX16" s="12"/>
      <c r="AY16" s="13"/>
      <c r="AZ16" s="13"/>
      <c r="BA16" s="13"/>
      <c r="BB16" s="15"/>
      <c r="BE16" s="12"/>
      <c r="BF16" s="13"/>
      <c r="BG16" s="13"/>
      <c r="BH16" s="13"/>
      <c r="BI16" s="15"/>
      <c r="BJ16" s="15"/>
      <c r="BK16" s="15"/>
      <c r="BL16" s="12"/>
      <c r="BM16" s="13"/>
      <c r="BN16" s="13"/>
      <c r="BO16" s="13"/>
      <c r="BP16" s="15"/>
      <c r="BS16" s="12"/>
      <c r="BT16" s="13"/>
      <c r="BU16" s="13"/>
      <c r="BV16" s="13"/>
      <c r="BW16" s="15"/>
      <c r="BZ16" s="12"/>
      <c r="CA16" s="13"/>
      <c r="CB16" s="13"/>
      <c r="CC16" s="13"/>
      <c r="CD16" s="27">
        <v>6.0096575271984692E-4</v>
      </c>
      <c r="CE16" s="27">
        <v>6.1712459460973867E-3</v>
      </c>
      <c r="CF16" s="27">
        <v>3.2670835128090311E-2</v>
      </c>
      <c r="CG16" s="12">
        <v>319.27999999999997</v>
      </c>
      <c r="CH16" s="13">
        <f t="shared" si="6"/>
        <v>0.19187634552839269</v>
      </c>
      <c r="CI16" s="13">
        <f t="shared" si="7"/>
        <v>1.9703554056699735</v>
      </c>
      <c r="CJ16" s="13">
        <f t="shared" si="8"/>
        <v>10.431144239696673</v>
      </c>
      <c r="CK16" s="27">
        <v>2.2055186311777429E-3</v>
      </c>
      <c r="CL16" s="27">
        <v>2.2707675783219122E-2</v>
      </c>
      <c r="CM16" s="27">
        <v>0.11335401687686281</v>
      </c>
      <c r="CN16" s="12">
        <v>397.35</v>
      </c>
      <c r="CO16" s="13">
        <f t="shared" si="9"/>
        <v>0.87636282809847621</v>
      </c>
      <c r="CP16" s="13">
        <f t="shared" si="10"/>
        <v>9.0228949724621188</v>
      </c>
      <c r="CQ16" s="13">
        <f t="shared" si="11"/>
        <v>45.041218606021438</v>
      </c>
      <c r="CR16" s="27">
        <v>3.0713884933176831E-3</v>
      </c>
      <c r="CS16" s="27">
        <v>3.1146094686060031E-2</v>
      </c>
      <c r="CT16" s="27">
        <v>0.15219149225395809</v>
      </c>
      <c r="CU16" s="12">
        <v>92.75</v>
      </c>
      <c r="CV16" s="13">
        <f t="shared" si="12"/>
        <v>0.28487128275521512</v>
      </c>
      <c r="CW16" s="13">
        <f t="shared" si="22"/>
        <v>2.8888002821320677</v>
      </c>
      <c r="CX16" s="13">
        <f t="shared" si="23"/>
        <v>14.115760906554613</v>
      </c>
      <c r="CY16" s="27">
        <v>5.4013184119261243E-4</v>
      </c>
      <c r="CZ16" s="27">
        <v>5.5006688076010384E-3</v>
      </c>
      <c r="DA16" s="27">
        <v>2.9898828327695821E-2</v>
      </c>
      <c r="DB16" s="12">
        <v>1749.95</v>
      </c>
      <c r="DC16" s="13">
        <f t="shared" si="13"/>
        <v>0.94520371549501214</v>
      </c>
      <c r="DD16" s="13">
        <f t="shared" si="14"/>
        <v>9.6258953798614382</v>
      </c>
      <c r="DE16" s="13">
        <f t="shared" si="15"/>
        <v>52.321454632051299</v>
      </c>
      <c r="DF16" s="27">
        <v>1.9664124202586329E-3</v>
      </c>
      <c r="DG16" s="27">
        <v>2.1082920770907829E-2</v>
      </c>
      <c r="DH16" s="27">
        <v>0.1086893966030669</v>
      </c>
      <c r="DI16" s="12">
        <v>63.02</v>
      </c>
      <c r="DJ16" s="13">
        <f t="shared" si="16"/>
        <v>0.12392331072469905</v>
      </c>
      <c r="DK16" s="13">
        <f t="shared" si="17"/>
        <v>1.3286456669826114</v>
      </c>
      <c r="DL16" s="13">
        <f t="shared" si="18"/>
        <v>6.8496057739252763</v>
      </c>
      <c r="DM16" s="27">
        <v>6.4433625121193304E-6</v>
      </c>
      <c r="DN16" s="27">
        <v>2.4989106787115262E-4</v>
      </c>
      <c r="DO16" s="27">
        <v>2.871893186281233E-3</v>
      </c>
      <c r="DP16" s="12">
        <v>171.22</v>
      </c>
      <c r="DQ16" s="13">
        <f t="shared" si="24"/>
        <v>1.1032325293250718E-3</v>
      </c>
      <c r="DR16" s="13">
        <f t="shared" si="26"/>
        <v>4.2786348640898753E-2</v>
      </c>
      <c r="DS16" s="13">
        <f t="shared" si="27"/>
        <v>0.49172555135507273</v>
      </c>
      <c r="DW16" s="12"/>
      <c r="DX16" s="13"/>
      <c r="DY16" s="13"/>
      <c r="DZ16" s="13"/>
      <c r="EA16" s="15"/>
      <c r="ED16" s="12"/>
      <c r="EE16" s="13"/>
      <c r="EF16" s="13"/>
      <c r="EG16" s="13"/>
    </row>
    <row r="17" spans="1:137">
      <c r="A17" s="8" t="s">
        <v>17</v>
      </c>
      <c r="B17" s="9">
        <v>-1.175620502848872</v>
      </c>
      <c r="C17" s="27">
        <v>5.3737573372784127E-2</v>
      </c>
      <c r="D17" s="27">
        <v>0.1539097394816748</v>
      </c>
      <c r="E17" s="27">
        <v>0.48189895645657721</v>
      </c>
      <c r="F17" s="11">
        <v>2170.6999999999998</v>
      </c>
      <c r="G17" s="12">
        <v>2295.6</v>
      </c>
      <c r="H17" s="13">
        <f t="shared" si="0"/>
        <v>353.31519795413266</v>
      </c>
      <c r="I17" s="13">
        <f t="shared" si="1"/>
        <v>116.64815052030249</v>
      </c>
      <c r="J17" s="14">
        <f t="shared" si="2"/>
        <v>334.09187149287146</v>
      </c>
      <c r="K17" s="14">
        <f t="shared" si="3"/>
        <v>1046.0580647802922</v>
      </c>
      <c r="O17" s="12"/>
      <c r="P17" s="13"/>
      <c r="Q17" s="13"/>
      <c r="R17" s="13"/>
      <c r="S17" s="15"/>
      <c r="T17" s="15"/>
      <c r="U17" s="15"/>
      <c r="V17" s="12"/>
      <c r="W17" s="13"/>
      <c r="X17" s="13"/>
      <c r="Y17" s="13"/>
      <c r="Z17" s="15"/>
      <c r="AC17" s="12"/>
      <c r="AD17" s="13"/>
      <c r="AE17" s="13"/>
      <c r="AF17" s="13"/>
      <c r="AG17" s="15"/>
      <c r="AJ17" s="12"/>
      <c r="AK17" s="13"/>
      <c r="AL17" s="13"/>
      <c r="AM17" s="13"/>
      <c r="AN17" s="15"/>
      <c r="AQ17" s="12"/>
      <c r="AR17" s="13"/>
      <c r="AS17" s="13"/>
      <c r="AT17" s="13"/>
      <c r="AU17" s="15"/>
      <c r="AV17" s="15"/>
      <c r="AW17" s="15"/>
      <c r="AX17" s="12"/>
      <c r="AY17" s="13"/>
      <c r="AZ17" s="13"/>
      <c r="BA17" s="13"/>
      <c r="BB17" s="15"/>
      <c r="BE17" s="12"/>
      <c r="BF17" s="13"/>
      <c r="BG17" s="13"/>
      <c r="BH17" s="13"/>
      <c r="BI17" s="15"/>
      <c r="BJ17" s="15"/>
      <c r="BK17" s="15"/>
      <c r="BL17" s="12"/>
      <c r="BM17" s="13"/>
      <c r="BN17" s="13"/>
      <c r="BO17" s="13"/>
      <c r="BP17" s="15"/>
      <c r="BS17" s="12"/>
      <c r="BT17" s="13"/>
      <c r="BU17" s="13"/>
      <c r="BV17" s="13"/>
      <c r="BW17" s="15"/>
      <c r="BZ17" s="12"/>
      <c r="CA17" s="13"/>
      <c r="CB17" s="13"/>
      <c r="CC17" s="13"/>
      <c r="CD17" s="27">
        <v>5.0162096554487202E-2</v>
      </c>
      <c r="CE17" s="27">
        <v>0.1244861640279704</v>
      </c>
      <c r="CF17" s="27">
        <v>0.2084276272341227</v>
      </c>
      <c r="CG17" s="12">
        <v>462.29999999999995</v>
      </c>
      <c r="CH17" s="13">
        <f t="shared" si="6"/>
        <v>23.189937237139432</v>
      </c>
      <c r="CI17" s="13">
        <f t="shared" si="7"/>
        <v>57.549953630130709</v>
      </c>
      <c r="CJ17" s="13">
        <f t="shared" si="8"/>
        <v>96.35609207033491</v>
      </c>
      <c r="CK17" s="27">
        <v>0.16836745425103691</v>
      </c>
      <c r="CL17" s="27">
        <v>0.34938896555362953</v>
      </c>
      <c r="CM17" s="27">
        <v>0.49066635945307641</v>
      </c>
      <c r="CN17" s="12">
        <v>241</v>
      </c>
      <c r="CO17" s="13">
        <f t="shared" si="9"/>
        <v>40.576556474499895</v>
      </c>
      <c r="CP17" s="13">
        <f t="shared" si="10"/>
        <v>84.202740698424719</v>
      </c>
      <c r="CQ17" s="13">
        <f t="shared" si="11"/>
        <v>118.25059262819141</v>
      </c>
      <c r="CR17" s="27">
        <v>0.2178292522368637</v>
      </c>
      <c r="CS17" s="27">
        <v>0.4235002773104849</v>
      </c>
      <c r="CT17" s="27">
        <v>0.57748026144230613</v>
      </c>
      <c r="CU17" s="12">
        <v>16</v>
      </c>
      <c r="CV17" s="13">
        <f t="shared" si="12"/>
        <v>3.4852680357898191</v>
      </c>
      <c r="CW17" s="13">
        <f t="shared" si="22"/>
        <v>6.7760044369677583</v>
      </c>
      <c r="CX17" s="13">
        <f t="shared" si="23"/>
        <v>9.2396841830768981</v>
      </c>
      <c r="CY17" s="27">
        <v>4.3951965782028549E-2</v>
      </c>
      <c r="CZ17" s="27">
        <v>0.1138011682847959</v>
      </c>
      <c r="DA17" s="27">
        <v>0.20135058837836761</v>
      </c>
      <c r="DB17" s="12">
        <v>1394.2</v>
      </c>
      <c r="DC17" s="13">
        <f t="shared" si="13"/>
        <v>61.277830693304203</v>
      </c>
      <c r="DD17" s="13">
        <f t="shared" si="14"/>
        <v>158.66158882266245</v>
      </c>
      <c r="DE17" s="13">
        <f t="shared" si="15"/>
        <v>280.72299031712015</v>
      </c>
      <c r="DF17" s="27">
        <v>0.15560253691390261</v>
      </c>
      <c r="DG17" s="27">
        <v>0.33526236904862161</v>
      </c>
      <c r="DH17" s="27">
        <v>0.47984831520756882</v>
      </c>
      <c r="DI17" s="12">
        <v>57.2</v>
      </c>
      <c r="DJ17" s="13">
        <f t="shared" si="16"/>
        <v>8.9004651114752296</v>
      </c>
      <c r="DK17" s="13">
        <f t="shared" si="17"/>
        <v>19.177007509581156</v>
      </c>
      <c r="DL17" s="13">
        <f t="shared" si="18"/>
        <v>27.447323629872937</v>
      </c>
      <c r="DM17" s="15"/>
      <c r="DP17" s="12"/>
      <c r="DQ17" s="13"/>
      <c r="DR17" s="13"/>
      <c r="DS17" s="13"/>
      <c r="DW17" s="12"/>
      <c r="DX17" s="13"/>
      <c r="DY17" s="13"/>
      <c r="DZ17" s="13"/>
      <c r="EA17" s="15"/>
      <c r="ED17" s="12"/>
      <c r="EE17" s="13"/>
      <c r="EF17" s="13"/>
      <c r="EG17" s="13"/>
    </row>
    <row r="18" spans="1:137">
      <c r="A18" s="8" t="s">
        <v>18</v>
      </c>
      <c r="B18" s="9">
        <v>-3.4508240671021977E-2</v>
      </c>
      <c r="C18" s="27">
        <v>0.21252718982944041</v>
      </c>
      <c r="D18" s="27">
        <v>0.38823974687196922</v>
      </c>
      <c r="E18" s="27">
        <v>0.79649302538623257</v>
      </c>
      <c r="F18" s="19">
        <v>3686.3</v>
      </c>
      <c r="G18" s="12">
        <v>3720.4</v>
      </c>
      <c r="H18" s="13">
        <f t="shared" si="0"/>
        <v>1444.4071542624743</v>
      </c>
      <c r="I18" s="13">
        <f t="shared" si="1"/>
        <v>783.43897986826619</v>
      </c>
      <c r="J18" s="14">
        <f>F18*D18</f>
        <v>1431.1681788941403</v>
      </c>
      <c r="K18" s="14">
        <f t="shared" si="3"/>
        <v>2936.1122394812692</v>
      </c>
      <c r="O18" s="12"/>
      <c r="P18" s="13"/>
      <c r="Q18" s="13"/>
      <c r="R18" s="13"/>
      <c r="S18" s="15"/>
      <c r="T18" s="15"/>
      <c r="U18" s="15"/>
      <c r="V18" s="12"/>
      <c r="W18" s="13"/>
      <c r="X18" s="13"/>
      <c r="Y18" s="13"/>
      <c r="Z18" s="15"/>
      <c r="AC18" s="12"/>
      <c r="AD18" s="13"/>
      <c r="AE18" s="13"/>
      <c r="AF18" s="13"/>
      <c r="AG18" s="15"/>
      <c r="AJ18" s="12"/>
      <c r="AK18" s="13"/>
      <c r="AL18" s="13"/>
      <c r="AM18" s="13"/>
      <c r="AN18" s="15"/>
      <c r="AQ18" s="12"/>
      <c r="AR18" s="13"/>
      <c r="AS18" s="13"/>
      <c r="AT18" s="13"/>
      <c r="AU18" s="15"/>
      <c r="AV18" s="15"/>
      <c r="AW18" s="15"/>
      <c r="AX18" s="12"/>
      <c r="AY18" s="13"/>
      <c r="AZ18" s="13"/>
      <c r="BA18" s="13"/>
      <c r="BB18" s="15"/>
      <c r="BE18" s="12"/>
      <c r="BF18" s="13"/>
      <c r="BG18" s="13"/>
      <c r="BH18" s="13"/>
      <c r="BI18" s="15"/>
      <c r="BJ18" s="15"/>
      <c r="BK18" s="15"/>
      <c r="BL18" s="12"/>
      <c r="BM18" s="13"/>
      <c r="BN18" s="13"/>
      <c r="BO18" s="13"/>
      <c r="BP18" s="15"/>
      <c r="BS18" s="12"/>
      <c r="BT18" s="13"/>
      <c r="BU18" s="13"/>
      <c r="BV18" s="13"/>
      <c r="BW18" s="15"/>
      <c r="BZ18" s="12"/>
      <c r="CA18" s="13"/>
      <c r="CB18" s="13"/>
      <c r="CC18" s="13"/>
      <c r="CD18" s="27">
        <v>0.2139164817402428</v>
      </c>
      <c r="CE18" s="27">
        <v>0.3420810228024922</v>
      </c>
      <c r="CF18" s="27">
        <v>0.48318932282807359</v>
      </c>
      <c r="CG18" s="12">
        <v>536.30000000000018</v>
      </c>
      <c r="CH18" s="13">
        <f t="shared" si="6"/>
        <v>114.72340915729225</v>
      </c>
      <c r="CI18" s="13">
        <f t="shared" si="7"/>
        <v>183.45805252897662</v>
      </c>
      <c r="CJ18" s="13">
        <f t="shared" si="8"/>
        <v>259.13443383269595</v>
      </c>
      <c r="CK18" s="27">
        <v>0.5036966646905856</v>
      </c>
      <c r="CL18" s="27">
        <v>0.66110296204215091</v>
      </c>
      <c r="CM18" s="27">
        <v>0.78371885845539857</v>
      </c>
      <c r="CN18" s="12">
        <v>1152.0999999999999</v>
      </c>
      <c r="CO18" s="13">
        <f t="shared" si="9"/>
        <v>580.30892739002365</v>
      </c>
      <c r="CP18" s="13">
        <f t="shared" si="10"/>
        <v>761.65672256876201</v>
      </c>
      <c r="CQ18" s="13">
        <f t="shared" si="11"/>
        <v>902.92249682646457</v>
      </c>
      <c r="CR18" s="27">
        <v>0.58383368397980329</v>
      </c>
      <c r="CS18" s="27">
        <v>0.72799415373235643</v>
      </c>
      <c r="CT18" s="27">
        <v>0.8327533333125714</v>
      </c>
      <c r="CU18" s="12">
        <v>508.8</v>
      </c>
      <c r="CV18" s="13">
        <f t="shared" si="12"/>
        <v>297.05457840892393</v>
      </c>
      <c r="CW18" s="13">
        <f t="shared" si="22"/>
        <v>370.40342541902294</v>
      </c>
      <c r="CX18" s="13">
        <f t="shared" si="23"/>
        <v>423.70489598943635</v>
      </c>
      <c r="CY18" s="27">
        <v>0.18632913818932539</v>
      </c>
      <c r="CZ18" s="27">
        <v>0.31898325629399982</v>
      </c>
      <c r="DA18" s="27">
        <v>0.47903074848170712</v>
      </c>
      <c r="DB18" s="12">
        <v>1489.1</v>
      </c>
      <c r="DC18" s="13">
        <f t="shared" si="13"/>
        <v>277.46271967772441</v>
      </c>
      <c r="DD18" s="13">
        <f t="shared" si="14"/>
        <v>474.99796694739507</v>
      </c>
      <c r="DE18" s="13">
        <f t="shared" si="15"/>
        <v>713.32468756411004</v>
      </c>
      <c r="DF18" s="15"/>
      <c r="DI18" s="12"/>
      <c r="DJ18" s="13"/>
      <c r="DK18" s="13"/>
      <c r="DL18" s="13"/>
      <c r="DM18" s="15"/>
      <c r="DP18" s="12"/>
      <c r="DQ18" s="13"/>
      <c r="DR18" s="13"/>
      <c r="DS18" s="13"/>
      <c r="DW18" s="12"/>
      <c r="DX18" s="13"/>
      <c r="DY18" s="13"/>
      <c r="DZ18" s="13"/>
      <c r="ED18" s="12"/>
      <c r="EE18" s="13"/>
      <c r="EF18" s="13"/>
      <c r="EG18" s="13"/>
    </row>
    <row r="19" spans="1:137">
      <c r="A19" s="8" t="s">
        <v>19</v>
      </c>
      <c r="B19" s="9">
        <v>2.2939672308944359</v>
      </c>
      <c r="C19" s="27">
        <v>0.1452476087777719</v>
      </c>
      <c r="D19" s="27">
        <v>0.44366838005314663</v>
      </c>
      <c r="E19" s="27">
        <v>0.69229558668729374</v>
      </c>
      <c r="F19" s="19">
        <v>347.67</v>
      </c>
      <c r="G19" s="12">
        <v>558.89</v>
      </c>
      <c r="H19" s="13">
        <f t="shared" si="0"/>
        <v>247.96182092790312</v>
      </c>
      <c r="I19" s="13">
        <f t="shared" si="1"/>
        <v>50.498236143767961</v>
      </c>
      <c r="J19" s="14">
        <f t="shared" si="2"/>
        <v>154.2501856930775</v>
      </c>
      <c r="K19" s="14">
        <f t="shared" si="3"/>
        <v>240.69040662357142</v>
      </c>
      <c r="L19" s="15"/>
      <c r="M19" s="9"/>
      <c r="N19" s="15"/>
      <c r="O19" s="12"/>
      <c r="P19" s="13"/>
      <c r="Q19" s="13"/>
      <c r="R19" s="13"/>
      <c r="S19" s="15"/>
      <c r="T19" s="15"/>
      <c r="U19" s="15"/>
      <c r="V19" s="12"/>
      <c r="W19" s="13"/>
      <c r="X19" s="13"/>
      <c r="Y19" s="13"/>
      <c r="Z19" s="15"/>
      <c r="AC19" s="12"/>
      <c r="AD19" s="13"/>
      <c r="AE19" s="13"/>
      <c r="AF19" s="13"/>
      <c r="AG19" s="15"/>
      <c r="AJ19" s="12"/>
      <c r="AK19" s="13"/>
      <c r="AL19" s="13"/>
      <c r="AM19" s="13"/>
      <c r="AN19" s="15"/>
      <c r="AQ19" s="12"/>
      <c r="AR19" s="13"/>
      <c r="AS19" s="13"/>
      <c r="AT19" s="13"/>
      <c r="AU19" s="15"/>
      <c r="AV19" s="15"/>
      <c r="AW19" s="15"/>
      <c r="AX19" s="12"/>
      <c r="AY19" s="13"/>
      <c r="AZ19" s="13"/>
      <c r="BA19" s="13"/>
      <c r="BB19" s="15"/>
      <c r="BE19" s="12"/>
      <c r="BF19" s="13"/>
      <c r="BG19" s="13"/>
      <c r="BH19" s="13"/>
      <c r="BI19" s="15"/>
      <c r="BJ19" s="15"/>
      <c r="BK19" s="15"/>
      <c r="BL19" s="12"/>
      <c r="BM19" s="13"/>
      <c r="BN19" s="13"/>
      <c r="BO19" s="13"/>
      <c r="BP19" s="15"/>
      <c r="BS19" s="12"/>
      <c r="BT19" s="13"/>
      <c r="BU19" s="13"/>
      <c r="BV19" s="13"/>
      <c r="BW19" s="15"/>
      <c r="BZ19" s="12"/>
      <c r="CA19" s="13"/>
      <c r="CB19" s="13"/>
      <c r="CC19" s="13"/>
      <c r="CD19" s="27">
        <v>0.1218566903544103</v>
      </c>
      <c r="CE19" s="27">
        <v>0.23362463736869979</v>
      </c>
      <c r="CF19" s="27">
        <v>0.35634500826947241</v>
      </c>
      <c r="CG19" s="12">
        <v>101.89000000000001</v>
      </c>
      <c r="CH19" s="13">
        <f t="shared" si="6"/>
        <v>12.415978180210868</v>
      </c>
      <c r="CI19" s="13">
        <f t="shared" si="7"/>
        <v>23.804014301496824</v>
      </c>
      <c r="CJ19" s="13">
        <f t="shared" si="8"/>
        <v>36.30799289257655</v>
      </c>
      <c r="CK19" s="27">
        <v>0.34097407380131678</v>
      </c>
      <c r="CL19" s="27">
        <v>0.53331275076200912</v>
      </c>
      <c r="CM19" s="27">
        <v>0.6797548794011723</v>
      </c>
      <c r="CN19" s="12">
        <v>148.88999999999999</v>
      </c>
      <c r="CO19" s="13">
        <f t="shared" si="9"/>
        <v>50.767629848278048</v>
      </c>
      <c r="CP19" s="13">
        <f t="shared" si="10"/>
        <v>79.404935460955528</v>
      </c>
      <c r="CQ19" s="13">
        <f t="shared" si="11"/>
        <v>101.20870399404053</v>
      </c>
      <c r="CR19" s="27">
        <v>0.42157212745036171</v>
      </c>
      <c r="CS19" s="27">
        <v>0.60838869120610628</v>
      </c>
      <c r="CT19" s="27">
        <v>0.74247445722712713</v>
      </c>
      <c r="CU19" s="12">
        <v>96.89</v>
      </c>
      <c r="CV19" s="13">
        <f t="shared" si="12"/>
        <v>40.84612342866555</v>
      </c>
      <c r="CW19" s="13">
        <f t="shared" si="22"/>
        <v>58.946780290959637</v>
      </c>
      <c r="CX19" s="13">
        <f t="shared" si="23"/>
        <v>71.938350160736348</v>
      </c>
      <c r="CY19" s="16"/>
      <c r="CZ19" s="17"/>
      <c r="DA19" s="17"/>
      <c r="DB19" s="16">
        <v>211.22</v>
      </c>
      <c r="DC19" s="16"/>
      <c r="DD19" s="16"/>
      <c r="DE19" s="16"/>
      <c r="DF19" s="15"/>
      <c r="DI19" s="12"/>
      <c r="DJ19" s="13"/>
      <c r="DK19" s="13"/>
      <c r="DL19" s="13"/>
      <c r="DM19" s="15"/>
      <c r="DP19" s="12"/>
      <c r="DQ19" s="13"/>
      <c r="DR19" s="13"/>
      <c r="DS19" s="13"/>
      <c r="DW19" s="12"/>
      <c r="DX19" s="13"/>
      <c r="DY19" s="13"/>
      <c r="DZ19" s="13"/>
      <c r="ED19" s="12"/>
      <c r="EE19" s="13"/>
      <c r="EF19" s="13"/>
      <c r="EG19" s="13"/>
    </row>
    <row r="20" spans="1:137">
      <c r="A20" s="18" t="s">
        <v>20</v>
      </c>
      <c r="B20" s="9">
        <v>3.2760529504953162</v>
      </c>
      <c r="C20" s="27">
        <v>0.42402711786689401</v>
      </c>
      <c r="D20" s="27">
        <v>0.86579640201117225</v>
      </c>
      <c r="E20" s="27">
        <v>0.99841226848328801</v>
      </c>
      <c r="F20" s="19">
        <v>745.30161776802856</v>
      </c>
      <c r="G20" s="12">
        <v>745.30161776802856</v>
      </c>
      <c r="H20" s="13">
        <f t="shared" si="0"/>
        <v>645.27945907666515</v>
      </c>
      <c r="I20" s="13">
        <f t="shared" si="1"/>
        <v>316.02809692371062</v>
      </c>
      <c r="J20" s="14">
        <f t="shared" si="2"/>
        <v>645.27945907666515</v>
      </c>
      <c r="K20" s="14">
        <f t="shared" si="3"/>
        <v>744.11827890004179</v>
      </c>
      <c r="L20" s="15"/>
      <c r="M20" s="9"/>
      <c r="N20" s="15"/>
      <c r="O20" s="12"/>
      <c r="P20" s="13"/>
      <c r="Q20" s="13"/>
      <c r="R20" s="13"/>
      <c r="S20" s="28">
        <v>0.94546071204150794</v>
      </c>
      <c r="T20" s="28">
        <v>0.98381181748282387</v>
      </c>
      <c r="U20" s="28">
        <v>0.99948310402720597</v>
      </c>
      <c r="V20" s="16"/>
      <c r="W20" s="16"/>
      <c r="X20" s="16"/>
      <c r="Y20" s="16"/>
      <c r="Z20" s="15"/>
      <c r="AC20" s="12"/>
      <c r="AD20" s="13"/>
      <c r="AE20" s="13"/>
      <c r="AF20" s="13"/>
      <c r="AG20" s="27">
        <v>0.82052536337034676</v>
      </c>
      <c r="AH20" s="27">
        <v>0.88940020602507253</v>
      </c>
      <c r="AI20" s="27">
        <v>0.93756720262740323</v>
      </c>
      <c r="AJ20" s="12">
        <v>51.785333455199101</v>
      </c>
      <c r="AK20" s="13">
        <f t="shared" si="30"/>
        <v>42.491179550581819</v>
      </c>
      <c r="AL20" s="13">
        <f t="shared" ref="AL20:AL30" si="37">AJ20*AH20</f>
        <v>46.057886244131161</v>
      </c>
      <c r="AM20" s="13">
        <f t="shared" ref="AM20:AM30" si="38">AJ20*AI20</f>
        <v>48.552230224718301</v>
      </c>
      <c r="AN20" s="27">
        <v>0.79490576736724716</v>
      </c>
      <c r="AO20" s="27">
        <v>0.86222908642048735</v>
      </c>
      <c r="AP20" s="27">
        <v>0.91631915562330402</v>
      </c>
      <c r="AQ20" s="12">
        <v>2.153596563385431</v>
      </c>
      <c r="AR20" s="13">
        <f>AN20*AQ20</f>
        <v>1.7119063288173624</v>
      </c>
      <c r="AS20" s="13">
        <f t="shared" si="31"/>
        <v>1.8568935973661214</v>
      </c>
      <c r="AT20" s="13">
        <f t="shared" si="32"/>
        <v>1.9733817845145876</v>
      </c>
      <c r="AU20" s="27">
        <v>0.83451891630204877</v>
      </c>
      <c r="AV20" s="27">
        <v>0.90160556806073389</v>
      </c>
      <c r="AW20" s="27">
        <v>0.94632569200197547</v>
      </c>
      <c r="AX20" s="12">
        <v>67.052143314139485</v>
      </c>
      <c r="AY20" s="13">
        <f>AU20*AX20</f>
        <v>55.95628197424535</v>
      </c>
      <c r="AZ20" s="13">
        <f>AX20*AV20</f>
        <v>60.454585762434469</v>
      </c>
      <c r="BA20" s="13">
        <f>AX20*AW20</f>
        <v>63.453165921968683</v>
      </c>
      <c r="BB20" s="27">
        <v>0.74880137148569925</v>
      </c>
      <c r="BC20" s="27">
        <v>0.84481688660366516</v>
      </c>
      <c r="BD20" s="27">
        <v>0.91191719432572604</v>
      </c>
      <c r="BE20" s="16"/>
      <c r="BF20" s="16"/>
      <c r="BG20" s="16"/>
      <c r="BH20" s="16"/>
      <c r="BI20" s="27">
        <v>0.81936138718627438</v>
      </c>
      <c r="BJ20" s="27">
        <v>0.93357601963952197</v>
      </c>
      <c r="BK20" s="27">
        <v>0.9824242350621436</v>
      </c>
      <c r="BL20" s="12">
        <v>47.397328093105443</v>
      </c>
      <c r="BM20" s="13">
        <f t="shared" ref="BM20:BM24" si="39">BI20*BL20</f>
        <v>38.835540495289848</v>
      </c>
      <c r="BN20" s="13">
        <f>BL20*BJ20</f>
        <v>44.249008902709875</v>
      </c>
      <c r="BO20" s="13">
        <f>BL20*BK20</f>
        <v>46.564283795858564</v>
      </c>
      <c r="BP20" s="27">
        <v>0.65132462723261164</v>
      </c>
      <c r="BQ20" s="27">
        <v>0.76566729765500074</v>
      </c>
      <c r="BR20" s="27">
        <v>0.85921812412443688</v>
      </c>
      <c r="BS20" s="12">
        <v>96.282332510739437</v>
      </c>
      <c r="BT20" s="13">
        <f t="shared" si="29"/>
        <v>62.71105433164373</v>
      </c>
      <c r="BU20" s="13">
        <f t="shared" si="34"/>
        <v>73.720233345418094</v>
      </c>
      <c r="BV20" s="13">
        <f t="shared" si="35"/>
        <v>82.727525126202821</v>
      </c>
      <c r="BW20" s="15"/>
      <c r="BX20" s="15"/>
      <c r="BY20" s="15"/>
      <c r="BZ20" s="12"/>
      <c r="CA20" s="13"/>
      <c r="CB20" s="13"/>
      <c r="CC20" s="13"/>
      <c r="CD20" s="27">
        <v>0.34299983591581462</v>
      </c>
      <c r="CE20" s="27">
        <v>0.46463217655006472</v>
      </c>
      <c r="CF20" s="27">
        <v>0.60592799434832723</v>
      </c>
      <c r="CG20" s="12">
        <v>3.7830941717697959</v>
      </c>
      <c r="CH20" s="13">
        <f t="shared" si="6"/>
        <v>1.2976006801711146</v>
      </c>
      <c r="CI20" s="13">
        <f t="shared" si="7"/>
        <v>1.7577472791232647</v>
      </c>
      <c r="CJ20" s="13">
        <f t="shared" si="8"/>
        <v>2.2922826639313185</v>
      </c>
      <c r="CK20" s="27">
        <v>0.66268227690278425</v>
      </c>
      <c r="CL20" s="27">
        <v>0.76479345328686454</v>
      </c>
      <c r="CM20" s="27">
        <v>0.85438258933976174</v>
      </c>
      <c r="CN20" s="12">
        <v>346.61045608262498</v>
      </c>
      <c r="CO20" s="13">
        <f t="shared" si="9"/>
        <v>229.69260623514643</v>
      </c>
      <c r="CP20" s="13">
        <f t="shared" si="10"/>
        <v>265.08540765276587</v>
      </c>
      <c r="CQ20" s="13">
        <f t="shared" si="11"/>
        <v>296.1379389601089</v>
      </c>
      <c r="CR20" s="27">
        <v>0.72948476031379672</v>
      </c>
      <c r="CS20" s="27">
        <v>0.81729923219595146</v>
      </c>
      <c r="CT20" s="27">
        <v>0.88960517144800488</v>
      </c>
      <c r="CU20" s="12">
        <v>42.67624836242878</v>
      </c>
      <c r="CV20" s="13">
        <f t="shared" si="12"/>
        <v>31.131672807758417</v>
      </c>
      <c r="CW20" s="13">
        <f t="shared" si="22"/>
        <v>34.879265019616774</v>
      </c>
      <c r="CX20" s="13">
        <f t="shared" si="23"/>
        <v>37.965011241216089</v>
      </c>
      <c r="CY20" s="15"/>
      <c r="DB20" s="12"/>
      <c r="DC20" s="13"/>
      <c r="DD20" s="13"/>
      <c r="DE20" s="13"/>
      <c r="DF20" s="15"/>
      <c r="DI20" s="12"/>
      <c r="DJ20" s="13"/>
      <c r="DK20" s="13"/>
      <c r="DL20" s="13"/>
      <c r="DM20" s="15"/>
      <c r="DP20" s="12"/>
      <c r="DQ20" s="13"/>
      <c r="DR20" s="13"/>
      <c r="DS20" s="13"/>
      <c r="DT20" s="27">
        <v>0.96582510268746447</v>
      </c>
      <c r="DU20" s="27">
        <v>0.9947575180656506</v>
      </c>
      <c r="DV20" s="27">
        <v>0.99983631829725983</v>
      </c>
      <c r="DW20" s="12">
        <v>87.56108521463608</v>
      </c>
      <c r="DX20" s="13">
        <f t="shared" ref="DX20" si="40">DT20*DW20</f>
        <v>84.568694118851724</v>
      </c>
      <c r="DY20" s="13">
        <f>DW20*DU20</f>
        <v>87.102047807246322</v>
      </c>
      <c r="DZ20" s="13">
        <f>DW20*DV20</f>
        <v>87.546753067114366</v>
      </c>
      <c r="ED20" s="12"/>
      <c r="EE20" s="13"/>
      <c r="EF20" s="13"/>
      <c r="EG20" s="13"/>
    </row>
    <row r="21" spans="1:137">
      <c r="A21" s="8" t="s">
        <v>21</v>
      </c>
      <c r="B21" s="9">
        <v>-0.97963061385552541</v>
      </c>
      <c r="C21" s="27">
        <v>3.3523950354092599E-2</v>
      </c>
      <c r="D21" s="27">
        <v>9.6337044050454415E-2</v>
      </c>
      <c r="E21" s="27">
        <v>0.34855279729134359</v>
      </c>
      <c r="F21" s="19">
        <v>538</v>
      </c>
      <c r="G21" s="12">
        <v>1047.6000000000001</v>
      </c>
      <c r="H21" s="13">
        <f t="shared" si="0"/>
        <v>100.92268734725606</v>
      </c>
      <c r="I21" s="13">
        <f t="shared" si="1"/>
        <v>18.035885290501817</v>
      </c>
      <c r="J21" s="14">
        <f t="shared" si="2"/>
        <v>51.829329699144473</v>
      </c>
      <c r="K21" s="14">
        <f t="shared" si="3"/>
        <v>187.52140494274286</v>
      </c>
      <c r="L21" s="15"/>
      <c r="M21" s="9"/>
      <c r="N21" s="15"/>
      <c r="O21" s="12"/>
      <c r="P21" s="13"/>
      <c r="Q21" s="13"/>
      <c r="R21" s="13"/>
      <c r="S21" s="15"/>
      <c r="T21" s="15"/>
      <c r="U21" s="15"/>
      <c r="V21" s="12"/>
      <c r="W21" s="13"/>
      <c r="X21" s="13"/>
      <c r="Y21" s="13"/>
      <c r="Z21" s="27">
        <v>4.5331926312456763E-2</v>
      </c>
      <c r="AA21" s="27">
        <v>0.1107303309059879</v>
      </c>
      <c r="AB21" s="27">
        <v>0.19108871684860501</v>
      </c>
      <c r="AC21" s="12">
        <v>1.2</v>
      </c>
      <c r="AD21" s="13">
        <f>Z21*AC21</f>
        <v>5.4398311574948115E-2</v>
      </c>
      <c r="AE21" s="13">
        <f t="shared" si="25"/>
        <v>0.13287639708718546</v>
      </c>
      <c r="AF21" s="13">
        <f t="shared" si="5"/>
        <v>0.22930646021832601</v>
      </c>
      <c r="AG21" s="15"/>
      <c r="AJ21" s="12"/>
      <c r="AK21" s="13"/>
      <c r="AL21" s="13"/>
      <c r="AM21" s="13"/>
      <c r="AN21" s="15"/>
      <c r="AQ21" s="12"/>
      <c r="AR21" s="13"/>
      <c r="AS21" s="13"/>
      <c r="AT21" s="13"/>
      <c r="AU21" s="15"/>
      <c r="AX21" s="12"/>
      <c r="AY21" s="13"/>
      <c r="AZ21" s="13"/>
      <c r="BA21" s="13"/>
      <c r="BB21" s="15"/>
      <c r="BE21" s="12"/>
      <c r="BF21" s="13"/>
      <c r="BG21" s="13"/>
      <c r="BH21" s="13"/>
      <c r="BI21" s="15"/>
      <c r="BL21" s="12"/>
      <c r="BM21" s="13"/>
      <c r="BN21" s="13"/>
      <c r="BO21" s="13"/>
      <c r="BP21" s="15"/>
      <c r="BS21" s="12"/>
      <c r="BT21" s="13"/>
      <c r="BU21" s="13"/>
      <c r="BV21" s="13"/>
      <c r="BW21" s="15"/>
      <c r="BX21" s="15"/>
      <c r="BY21" s="15"/>
      <c r="BZ21" s="12"/>
      <c r="CA21" s="13"/>
      <c r="CB21" s="13"/>
      <c r="CC21" s="13"/>
      <c r="CD21" s="27">
        <v>3.0420707104731191E-2</v>
      </c>
      <c r="CE21" s="27">
        <v>7.4437771015018875E-2</v>
      </c>
      <c r="CF21" s="27">
        <v>0.1259508542994037</v>
      </c>
      <c r="CG21" s="12">
        <v>32.900000000000006</v>
      </c>
      <c r="CH21" s="13">
        <f t="shared" si="6"/>
        <v>1.0008412637456563</v>
      </c>
      <c r="CI21" s="13">
        <f t="shared" si="7"/>
        <v>2.4490026663941213</v>
      </c>
      <c r="CJ21" s="13">
        <f t="shared" si="8"/>
        <v>4.1437831064503827</v>
      </c>
      <c r="CK21" s="27">
        <v>0.10459493340403821</v>
      </c>
      <c r="CL21" s="27">
        <v>0.23268386837880889</v>
      </c>
      <c r="CM21" s="27">
        <v>0.34920482964794569</v>
      </c>
      <c r="CN21" s="12">
        <v>154.19999999999999</v>
      </c>
      <c r="CO21" s="13">
        <f t="shared" si="9"/>
        <v>16.12853873090269</v>
      </c>
      <c r="CP21" s="13">
        <f t="shared" si="10"/>
        <v>35.879852504012327</v>
      </c>
      <c r="CQ21" s="13">
        <f t="shared" si="11"/>
        <v>53.84738473171322</v>
      </c>
      <c r="CR21" s="27">
        <v>0.1447109797741285</v>
      </c>
      <c r="CS21" s="27">
        <v>0.29264976539714782</v>
      </c>
      <c r="CT21" s="27">
        <v>0.42173190616738609</v>
      </c>
      <c r="CU21" s="12">
        <v>35.299999999999997</v>
      </c>
      <c r="CV21" s="13">
        <f t="shared" si="12"/>
        <v>5.1082975860267359</v>
      </c>
      <c r="CW21" s="13">
        <f t="shared" si="22"/>
        <v>10.330536718519317</v>
      </c>
      <c r="CX21" s="13">
        <f t="shared" si="23"/>
        <v>14.887136287708728</v>
      </c>
      <c r="CY21" s="27">
        <v>2.709246058401113E-2</v>
      </c>
      <c r="CZ21" s="27">
        <v>6.7463970962164221E-2</v>
      </c>
      <c r="DA21" s="27">
        <v>0.1178249637151589</v>
      </c>
      <c r="DB21" s="12">
        <v>294.10000000000002</v>
      </c>
      <c r="DC21" s="13">
        <f t="shared" si="13"/>
        <v>7.9678926577576741</v>
      </c>
      <c r="DD21" s="13">
        <f t="shared" si="14"/>
        <v>19.841153859972501</v>
      </c>
      <c r="DE21" s="13">
        <f t="shared" si="15"/>
        <v>34.652321828628232</v>
      </c>
      <c r="DF21" s="27">
        <v>0.10016783811793151</v>
      </c>
      <c r="DG21" s="27">
        <v>0.21947398575738389</v>
      </c>
      <c r="DH21" s="27">
        <v>0.33019061334776179</v>
      </c>
      <c r="DI21" s="12">
        <v>20.3</v>
      </c>
      <c r="DJ21" s="13">
        <f t="shared" si="16"/>
        <v>2.0334071137940097</v>
      </c>
      <c r="DK21" s="13">
        <f t="shared" si="17"/>
        <v>4.4553219108748934</v>
      </c>
      <c r="DL21" s="13">
        <f t="shared" si="18"/>
        <v>6.7028694509595645</v>
      </c>
      <c r="DM21" s="15"/>
      <c r="DP21" s="12"/>
      <c r="DQ21" s="13"/>
      <c r="DR21" s="13"/>
      <c r="DS21" s="13"/>
      <c r="DW21" s="12"/>
      <c r="DX21" s="13"/>
      <c r="DY21" s="13"/>
      <c r="DZ21" s="13"/>
      <c r="ED21" s="12"/>
      <c r="EE21" s="13"/>
      <c r="EF21" s="13"/>
      <c r="EG21" s="13"/>
    </row>
    <row r="22" spans="1:137">
      <c r="A22" s="18" t="s">
        <v>22</v>
      </c>
      <c r="B22" s="9">
        <v>2.2040425097143679</v>
      </c>
      <c r="C22" s="27">
        <v>0.35453416531858678</v>
      </c>
      <c r="D22" s="27">
        <v>0.77199128887154023</v>
      </c>
      <c r="E22" s="27">
        <v>0.88827262619414482</v>
      </c>
      <c r="F22" s="19">
        <v>363.8077083</v>
      </c>
      <c r="G22" s="12">
        <v>363.80770825000002</v>
      </c>
      <c r="H22" s="13">
        <f t="shared" si="0"/>
        <v>280.85638159331882</v>
      </c>
      <c r="I22" s="13">
        <f t="shared" si="1"/>
        <v>128.9822621986084</v>
      </c>
      <c r="J22" s="14">
        <f t="shared" si="2"/>
        <v>280.85638163191834</v>
      </c>
      <c r="K22" s="14">
        <f t="shared" si="3"/>
        <v>323.1604284813144</v>
      </c>
      <c r="L22" s="15"/>
      <c r="M22" s="9"/>
      <c r="N22" s="15"/>
      <c r="O22" s="12"/>
      <c r="P22" s="13"/>
      <c r="Q22" s="13"/>
      <c r="R22" s="13"/>
      <c r="S22" s="15"/>
      <c r="T22" s="15"/>
      <c r="U22" s="15"/>
      <c r="V22" s="12"/>
      <c r="W22" s="13"/>
      <c r="X22" s="13"/>
      <c r="Y22" s="13"/>
      <c r="Z22" s="15"/>
      <c r="AC22" s="12"/>
      <c r="AD22" s="13"/>
      <c r="AE22" s="13"/>
      <c r="AF22" s="13"/>
      <c r="AG22" s="15"/>
      <c r="AJ22" s="12"/>
      <c r="AK22" s="13"/>
      <c r="AL22" s="13"/>
      <c r="AM22" s="13"/>
      <c r="AN22" s="27">
        <v>0.79471346573960322</v>
      </c>
      <c r="AO22" s="27">
        <v>0.85832903621261081</v>
      </c>
      <c r="AP22" s="27">
        <v>0.90547176851526534</v>
      </c>
      <c r="AQ22" s="12">
        <v>1.04565435</v>
      </c>
      <c r="AR22" s="13">
        <f t="shared" si="28"/>
        <v>0.83099559245419208</v>
      </c>
      <c r="AS22" s="13">
        <f t="shared" si="31"/>
        <v>0.89751549044702394</v>
      </c>
      <c r="AT22" s="13">
        <f t="shared" si="32"/>
        <v>0.94681049355018021</v>
      </c>
      <c r="AU22" s="15"/>
      <c r="AX22" s="12"/>
      <c r="AY22" s="13"/>
      <c r="AZ22" s="13"/>
      <c r="BA22" s="13"/>
      <c r="BB22" s="27">
        <v>0.7637837718051641</v>
      </c>
      <c r="BC22" s="27">
        <v>0.83897030559493813</v>
      </c>
      <c r="BD22" s="27">
        <v>0.89660619754470727</v>
      </c>
      <c r="BE22" s="12">
        <v>3.4631717000000002</v>
      </c>
      <c r="BF22" s="13">
        <f t="shared" si="33"/>
        <v>2.6451143434349023</v>
      </c>
      <c r="BG22" s="13">
        <f>BE22*BC22</f>
        <v>2.9054982194767414</v>
      </c>
      <c r="BH22" s="13">
        <f t="shared" ref="BH22:BH38" si="41">BE22*BD22</f>
        <v>3.1051012093814401</v>
      </c>
      <c r="BI22" s="15"/>
      <c r="BJ22" s="15"/>
      <c r="BK22" s="15"/>
      <c r="BL22" s="12"/>
      <c r="BM22" s="13"/>
      <c r="BN22" s="13"/>
      <c r="BO22" s="13"/>
      <c r="BP22" s="27">
        <v>0.65132462723261164</v>
      </c>
      <c r="BQ22" s="27">
        <v>0.76566729765500074</v>
      </c>
      <c r="BR22" s="27">
        <v>0.85921812412443688</v>
      </c>
      <c r="BS22" s="12">
        <v>170.52680140000001</v>
      </c>
      <c r="BT22" s="13">
        <f t="shared" si="29"/>
        <v>111.06830535502461</v>
      </c>
      <c r="BU22" s="13">
        <f t="shared" si="34"/>
        <v>130.566795205689</v>
      </c>
      <c r="BV22" s="13">
        <f t="shared" si="35"/>
        <v>146.5197184118484</v>
      </c>
      <c r="BW22" s="27">
        <v>0.26430689910714578</v>
      </c>
      <c r="BX22" s="27">
        <v>0.42142819935338821</v>
      </c>
      <c r="BY22" s="27">
        <v>0.54113085426711072</v>
      </c>
      <c r="BZ22" s="12">
        <v>0.34963844999999999</v>
      </c>
      <c r="CA22" s="13">
        <f t="shared" si="36"/>
        <v>9.2411854528128834E-2</v>
      </c>
      <c r="CB22" s="13">
        <f t="shared" ref="CB22:CB38" si="42">BZ22*BX22</f>
        <v>0.14734750240820965</v>
      </c>
      <c r="CC22" s="13">
        <f t="shared" ref="CC22:CC38" si="43">BZ22*BY22</f>
        <v>0.18920015313312846</v>
      </c>
      <c r="CD22" s="27">
        <v>0.35879567288454173</v>
      </c>
      <c r="CE22" s="27">
        <v>0.45558510695923621</v>
      </c>
      <c r="CF22" s="27">
        <v>0.55317301880394565</v>
      </c>
      <c r="CG22" s="12">
        <v>14.046875</v>
      </c>
      <c r="CH22" s="13">
        <f t="shared" si="6"/>
        <v>5.0399579675500474</v>
      </c>
      <c r="CI22" s="13">
        <f t="shared" si="7"/>
        <v>6.3995470493180209</v>
      </c>
      <c r="CJ22" s="13">
        <f t="shared" si="8"/>
        <v>7.7703522485116743</v>
      </c>
      <c r="CK22" s="15"/>
      <c r="CN22" s="12"/>
      <c r="CO22" s="13"/>
      <c r="CP22" s="13"/>
      <c r="CQ22" s="13"/>
      <c r="CR22" s="27">
        <v>0.74561675971076047</v>
      </c>
      <c r="CS22" s="27">
        <v>0.81159223225817045</v>
      </c>
      <c r="CT22" s="27">
        <v>0.86548583913919619</v>
      </c>
      <c r="CU22" s="12">
        <v>156.78555914999998</v>
      </c>
      <c r="CV22" s="13">
        <f t="shared" si="12"/>
        <v>116.90194058286276</v>
      </c>
      <c r="CW22" s="13">
        <f t="shared" si="22"/>
        <v>127.2459419363939</v>
      </c>
      <c r="CX22" s="13">
        <f t="shared" si="23"/>
        <v>135.69568122584582</v>
      </c>
      <c r="CY22" s="27">
        <v>0.32622833853327521</v>
      </c>
      <c r="CZ22" s="27">
        <v>0.42887264640249262</v>
      </c>
      <c r="DA22" s="27">
        <v>0.53458238414467119</v>
      </c>
      <c r="DB22" s="12">
        <v>0.13699844999999999</v>
      </c>
      <c r="DC22" s="13">
        <f t="shared" si="13"/>
        <v>4.4692776725133977E-2</v>
      </c>
      <c r="DD22" s="13">
        <f t="shared" si="14"/>
        <v>5.8754887804539566E-2</v>
      </c>
      <c r="DE22" s="13">
        <f t="shared" si="15"/>
        <v>7.3236958025124518E-2</v>
      </c>
      <c r="DF22" s="27">
        <v>0.66233920573745642</v>
      </c>
      <c r="DG22" s="27">
        <v>0.74520227214119783</v>
      </c>
      <c r="DH22" s="27">
        <v>0.81222004888181765</v>
      </c>
      <c r="DI22" s="12">
        <v>17.4530098</v>
      </c>
      <c r="DJ22" s="13">
        <f t="shared" si="16"/>
        <v>11.559812648660044</v>
      </c>
      <c r="DK22" s="13">
        <f t="shared" si="17"/>
        <v>13.006022558662593</v>
      </c>
      <c r="DL22" s="13">
        <f t="shared" si="18"/>
        <v>14.175684472890843</v>
      </c>
      <c r="DM22" s="15"/>
      <c r="DP22" s="12"/>
      <c r="DQ22" s="13"/>
      <c r="DR22" s="13"/>
      <c r="DS22" s="13"/>
      <c r="DW22" s="12"/>
      <c r="DX22" s="13"/>
      <c r="DY22" s="13"/>
      <c r="DZ22" s="13"/>
      <c r="ED22" s="12"/>
      <c r="EE22" s="13"/>
      <c r="EF22" s="13"/>
      <c r="EG22" s="13"/>
    </row>
    <row r="23" spans="1:137">
      <c r="A23" s="8" t="s">
        <v>23</v>
      </c>
      <c r="B23" s="9">
        <v>-0.64229782871214769</v>
      </c>
      <c r="C23" s="27">
        <v>1.324868461783013E-3</v>
      </c>
      <c r="D23" s="27">
        <v>2.1977459130786591E-2</v>
      </c>
      <c r="E23" s="27">
        <v>0.11088981117569729</v>
      </c>
      <c r="F23" s="19">
        <v>475.23999999999995</v>
      </c>
      <c r="G23" s="12">
        <v>651.06000000000006</v>
      </c>
      <c r="H23" s="13">
        <f t="shared" si="0"/>
        <v>14.308644541689919</v>
      </c>
      <c r="I23" s="13">
        <f t="shared" si="1"/>
        <v>0.62963048777775898</v>
      </c>
      <c r="J23" s="14">
        <f t="shared" si="2"/>
        <v>10.444567677315019</v>
      </c>
      <c r="K23" s="14">
        <f t="shared" si="3"/>
        <v>52.69927386313838</v>
      </c>
      <c r="L23" s="15"/>
      <c r="M23" s="9"/>
      <c r="N23" s="15"/>
      <c r="O23" s="12"/>
      <c r="P23" s="13"/>
      <c r="Q23" s="13"/>
      <c r="R23" s="13"/>
      <c r="S23" s="15"/>
      <c r="T23" s="15"/>
      <c r="U23" s="15"/>
      <c r="V23" s="12"/>
      <c r="W23" s="13"/>
      <c r="X23" s="13"/>
      <c r="Y23" s="13"/>
      <c r="Z23" s="16"/>
      <c r="AA23" s="17"/>
      <c r="AB23" s="17"/>
      <c r="AC23" s="16">
        <v>2.12</v>
      </c>
      <c r="AD23" s="16"/>
      <c r="AE23" s="16"/>
      <c r="AF23" s="16"/>
      <c r="AG23" s="15"/>
      <c r="AJ23" s="12"/>
      <c r="AK23" s="13"/>
      <c r="AL23" s="13"/>
      <c r="AM23" s="13"/>
      <c r="AN23" s="16"/>
      <c r="AO23" s="17"/>
      <c r="AP23" s="17"/>
      <c r="AQ23" s="16">
        <v>23.2</v>
      </c>
      <c r="AR23" s="16"/>
      <c r="AS23" s="16"/>
      <c r="AT23" s="16"/>
      <c r="AU23" s="15"/>
      <c r="AX23" s="12"/>
      <c r="AY23" s="13"/>
      <c r="AZ23" s="13"/>
      <c r="BA23" s="13"/>
      <c r="BB23" s="15"/>
      <c r="BE23" s="12"/>
      <c r="BF23" s="13"/>
      <c r="BG23" s="13"/>
      <c r="BH23" s="13"/>
      <c r="BI23" s="15"/>
      <c r="BJ23" s="15"/>
      <c r="BK23" s="15"/>
      <c r="BL23" s="12"/>
      <c r="BM23" s="13"/>
      <c r="BN23" s="13"/>
      <c r="BO23" s="13"/>
      <c r="BP23" s="15"/>
      <c r="BS23" s="12"/>
      <c r="BT23" s="13"/>
      <c r="BU23" s="13"/>
      <c r="BV23" s="13"/>
      <c r="BW23" s="15"/>
      <c r="BZ23" s="12"/>
      <c r="CA23" s="13"/>
      <c r="CB23" s="13"/>
      <c r="CC23" s="13"/>
      <c r="CD23" s="27">
        <v>4.0592671738918706E-3</v>
      </c>
      <c r="CE23" s="27">
        <v>1.6672783918302389E-2</v>
      </c>
      <c r="CF23" s="27">
        <v>4.0944024361489008E-2</v>
      </c>
      <c r="CG23" s="12">
        <v>34.220000000000027</v>
      </c>
      <c r="CH23" s="13">
        <f t="shared" si="6"/>
        <v>0.13890812269057992</v>
      </c>
      <c r="CI23" s="13">
        <f t="shared" si="7"/>
        <v>0.57054266568430823</v>
      </c>
      <c r="CJ23" s="13">
        <f t="shared" si="8"/>
        <v>1.401104513650155</v>
      </c>
      <c r="CK23" s="27">
        <v>1.509088150910003E-2</v>
      </c>
      <c r="CL23" s="27">
        <v>5.9959446002170028E-2</v>
      </c>
      <c r="CM23" s="27">
        <v>0.136813613152203</v>
      </c>
      <c r="CN23" s="12">
        <v>279.88</v>
      </c>
      <c r="CO23" s="13">
        <f t="shared" si="9"/>
        <v>4.2236359167669164</v>
      </c>
      <c r="CP23" s="13">
        <f t="shared" si="10"/>
        <v>16.781449747087347</v>
      </c>
      <c r="CQ23" s="13">
        <f t="shared" si="11"/>
        <v>38.291394049038573</v>
      </c>
      <c r="CR23" s="15"/>
      <c r="CU23" s="12"/>
      <c r="CV23" s="13"/>
      <c r="CW23" s="13"/>
      <c r="CX23" s="13"/>
      <c r="CY23" s="27">
        <v>3.5200248285649021E-3</v>
      </c>
      <c r="CZ23" s="27">
        <v>1.507155774146177E-2</v>
      </c>
      <c r="DA23" s="27">
        <v>3.6880682529097777E-2</v>
      </c>
      <c r="DB23" s="12">
        <v>124.2</v>
      </c>
      <c r="DC23" s="13">
        <f t="shared" si="13"/>
        <v>0.43718708370776083</v>
      </c>
      <c r="DD23" s="13">
        <f t="shared" si="14"/>
        <v>1.8718874714895519</v>
      </c>
      <c r="DE23" s="13">
        <f t="shared" si="15"/>
        <v>4.5805807701139445</v>
      </c>
      <c r="DF23" s="27">
        <v>1.3848201622531109E-2</v>
      </c>
      <c r="DG23" s="27">
        <v>5.6344005814577332E-2</v>
      </c>
      <c r="DH23" s="27">
        <v>0.12673676038070511</v>
      </c>
      <c r="DI23" s="12">
        <v>12.7</v>
      </c>
      <c r="DJ23" s="13">
        <f t="shared" si="16"/>
        <v>0.17587216060614508</v>
      </c>
      <c r="DK23" s="13">
        <f t="shared" si="17"/>
        <v>0.71556887384513213</v>
      </c>
      <c r="DL23" s="13">
        <f t="shared" si="18"/>
        <v>1.6095568568349548</v>
      </c>
      <c r="DM23" s="27">
        <v>2.098693791167351E-5</v>
      </c>
      <c r="DN23" s="27">
        <v>7.4262680394590293E-4</v>
      </c>
      <c r="DO23" s="27">
        <v>4.7726706273509903E-3</v>
      </c>
      <c r="DP23" s="12">
        <v>0.14000000000000001</v>
      </c>
      <c r="DQ23" s="13">
        <f t="shared" si="24"/>
        <v>2.9381713076342916E-6</v>
      </c>
      <c r="DR23" s="13">
        <f t="shared" si="26"/>
        <v>1.0396775255242642E-4</v>
      </c>
      <c r="DS23" s="13">
        <f t="shared" si="27"/>
        <v>6.6817388782913875E-4</v>
      </c>
      <c r="DW23" s="12"/>
      <c r="DX23" s="13"/>
      <c r="DY23" s="13"/>
      <c r="DZ23" s="13"/>
      <c r="EA23" s="27">
        <v>4.1077142313414106E-3</v>
      </c>
      <c r="EB23" s="27">
        <v>1.747536414988073E-2</v>
      </c>
      <c r="EC23" s="27">
        <v>4.4521150765683561E-2</v>
      </c>
      <c r="ED23" s="12">
        <v>0.9</v>
      </c>
      <c r="EE23" s="13">
        <f t="shared" si="19"/>
        <v>3.6969428082072697E-3</v>
      </c>
      <c r="EF23" s="13">
        <f t="shared" si="20"/>
        <v>1.5727827734892657E-2</v>
      </c>
      <c r="EG23" s="13">
        <f t="shared" si="21"/>
        <v>4.0069035689115205E-2</v>
      </c>
    </row>
    <row r="24" spans="1:137">
      <c r="A24" s="18" t="s">
        <v>24</v>
      </c>
      <c r="B24" s="9">
        <v>3.1665845996154531</v>
      </c>
      <c r="C24" s="27">
        <v>0.1277971417765294</v>
      </c>
      <c r="D24" s="27">
        <v>0.55278114297262049</v>
      </c>
      <c r="E24" s="27">
        <v>0.99040433189614874</v>
      </c>
      <c r="F24" s="19">
        <v>304.61125457738979</v>
      </c>
      <c r="G24" s="12">
        <v>304.61125457738979</v>
      </c>
      <c r="H24" s="13">
        <f t="shared" si="0"/>
        <v>168.38335746761339</v>
      </c>
      <c r="I24" s="13">
        <f t="shared" si="1"/>
        <v>38.928447687953174</v>
      </c>
      <c r="J24" s="14">
        <f t="shared" si="2"/>
        <v>168.38335746761339</v>
      </c>
      <c r="K24" s="14">
        <f t="shared" si="3"/>
        <v>301.68830607776744</v>
      </c>
      <c r="L24" s="15"/>
      <c r="M24" s="9"/>
      <c r="N24" s="15"/>
      <c r="O24" s="12"/>
      <c r="P24" s="13"/>
      <c r="Q24" s="13"/>
      <c r="R24" s="13"/>
      <c r="S24" s="15"/>
      <c r="T24" s="15"/>
      <c r="U24" s="15"/>
      <c r="V24" s="12"/>
      <c r="W24" s="13"/>
      <c r="X24" s="13"/>
      <c r="Y24" s="13"/>
      <c r="Z24" s="15"/>
      <c r="AC24" s="12"/>
      <c r="AD24" s="13"/>
      <c r="AE24" s="13"/>
      <c r="AF24" s="13"/>
      <c r="AG24" s="27">
        <v>0.44849828005948111</v>
      </c>
      <c r="AH24" s="27">
        <v>0.61712200946269591</v>
      </c>
      <c r="AI24" s="27">
        <v>0.78171298786000565</v>
      </c>
      <c r="AJ24" s="12">
        <v>18.118178400873699</v>
      </c>
      <c r="AK24" s="13">
        <f t="shared" si="30"/>
        <v>8.1259718506026939</v>
      </c>
      <c r="AL24" s="13">
        <f t="shared" si="37"/>
        <v>11.181126662550792</v>
      </c>
      <c r="AM24" s="13">
        <f t="shared" si="38"/>
        <v>14.163215372327599</v>
      </c>
      <c r="AN24" s="27">
        <v>0.41314678704581348</v>
      </c>
      <c r="AO24" s="27">
        <v>0.56772785413803772</v>
      </c>
      <c r="AP24" s="27">
        <v>0.69804951214101163</v>
      </c>
      <c r="AQ24" s="12">
        <v>9.110757450051862</v>
      </c>
      <c r="AR24" s="13">
        <f t="shared" si="28"/>
        <v>3.7640801680426352</v>
      </c>
      <c r="AS24" s="13">
        <f t="shared" si="31"/>
        <v>5.1724307766900841</v>
      </c>
      <c r="AT24" s="13">
        <f t="shared" si="32"/>
        <v>6.3597597932437893</v>
      </c>
      <c r="AU24" s="27">
        <v>0.51248135170205145</v>
      </c>
      <c r="AV24" s="27">
        <v>0.65793069325171638</v>
      </c>
      <c r="AW24" s="27">
        <v>0.77172583855313404</v>
      </c>
      <c r="AX24" s="12">
        <v>13.578137963401639</v>
      </c>
      <c r="AY24" s="13">
        <f>AU24*AX24</f>
        <v>6.9585424970810124</v>
      </c>
      <c r="AZ24" s="13">
        <f t="shared" ref="AZ24:AZ38" si="44">AX24*AV24</f>
        <v>8.933473723328289</v>
      </c>
      <c r="BA24" s="13">
        <f t="shared" ref="BA24:BA38" si="45">AX24*AW24</f>
        <v>10.478599905796274</v>
      </c>
      <c r="BB24" s="27">
        <v>0.39644448603623889</v>
      </c>
      <c r="BC24" s="27">
        <v>0.5308107090496258</v>
      </c>
      <c r="BD24" s="27">
        <v>0.6572574817927227</v>
      </c>
      <c r="BE24" s="12">
        <v>5.5922191601254196</v>
      </c>
      <c r="BF24" s="13">
        <f t="shared" si="33"/>
        <v>2.2170044507379294</v>
      </c>
      <c r="BG24" s="13">
        <f t="shared" ref="BG24:BG38" si="46">BE24*BC24</f>
        <v>2.968409817547077</v>
      </c>
      <c r="BH24" s="13">
        <f t="shared" si="41"/>
        <v>3.6755278828170481</v>
      </c>
      <c r="BI24" s="27">
        <v>0.53332497526426581</v>
      </c>
      <c r="BJ24" s="27">
        <v>0.74344726472647982</v>
      </c>
      <c r="BK24" s="27">
        <v>0.90252767875032502</v>
      </c>
      <c r="BL24" s="12">
        <v>33.754427250733833</v>
      </c>
      <c r="BM24" s="13">
        <f t="shared" si="39"/>
        <v>18.002079078557081</v>
      </c>
      <c r="BN24" s="13">
        <f t="shared" ref="BN24" si="47">BL24*BJ24</f>
        <v>25.094636611967022</v>
      </c>
      <c r="BO24" s="13">
        <f>BL24*BK24</f>
        <v>30.464304874151523</v>
      </c>
      <c r="BP24" s="27">
        <v>0.28137098544901001</v>
      </c>
      <c r="BQ24" s="27">
        <v>0.40780447580236789</v>
      </c>
      <c r="BR24" s="27">
        <v>0.52780833692333551</v>
      </c>
      <c r="BS24" s="12">
        <v>76.578277351827495</v>
      </c>
      <c r="BT24" s="13">
        <f t="shared" si="29"/>
        <v>21.546905362471307</v>
      </c>
      <c r="BU24" s="13">
        <f t="shared" si="34"/>
        <v>31.228964253310352</v>
      </c>
      <c r="BV24" s="13">
        <f t="shared" si="35"/>
        <v>40.418653213521999</v>
      </c>
      <c r="BW24" s="27">
        <v>6.4429446284338526E-2</v>
      </c>
      <c r="BX24" s="27">
        <v>0.13541912010419249</v>
      </c>
      <c r="BY24" s="27">
        <v>0.2343232134401895</v>
      </c>
      <c r="BZ24" s="12">
        <v>0.1801669547113659</v>
      </c>
      <c r="CA24" s="13">
        <f t="shared" si="36"/>
        <v>1.1608057130788801E-2</v>
      </c>
      <c r="CB24" s="13">
        <f t="shared" si="42"/>
        <v>2.4398050478865067E-2</v>
      </c>
      <c r="CC24" s="13">
        <f t="shared" si="43"/>
        <v>4.2217299783700347E-2</v>
      </c>
      <c r="CD24" s="27">
        <v>8.9721352278943858E-2</v>
      </c>
      <c r="CE24" s="27">
        <v>0.1537933967723496</v>
      </c>
      <c r="CF24" s="27">
        <v>0.23904797570670491</v>
      </c>
      <c r="CG24" s="12">
        <v>0.19879532811516451</v>
      </c>
      <c r="CH24" s="13">
        <f t="shared" si="6"/>
        <v>1.7836185665228908E-2</v>
      </c>
      <c r="CI24" s="13">
        <f t="shared" si="7"/>
        <v>3.057340877330492E-2</v>
      </c>
      <c r="CJ24" s="13">
        <f t="shared" si="8"/>
        <v>4.7521620765880276E-2</v>
      </c>
      <c r="CK24" s="27">
        <v>0.27861895650245921</v>
      </c>
      <c r="CL24" s="27">
        <v>0.40654042763508319</v>
      </c>
      <c r="CM24" s="27">
        <v>0.53232836324182775</v>
      </c>
      <c r="CN24" s="12">
        <v>13.47628431976595</v>
      </c>
      <c r="CO24" s="13">
        <f t="shared" si="9"/>
        <v>3.7547482747036423</v>
      </c>
      <c r="CP24" s="13">
        <f t="shared" si="10"/>
        <v>5.4786543902896154</v>
      </c>
      <c r="CQ24" s="13">
        <f t="shared" si="11"/>
        <v>7.1738083745225163</v>
      </c>
      <c r="CR24" s="27">
        <v>0.34728996729007078</v>
      </c>
      <c r="CS24" s="27">
        <v>0.48512715227131059</v>
      </c>
      <c r="CT24" s="27">
        <v>0.61039185923063355</v>
      </c>
      <c r="CU24" s="12">
        <v>3.2316984108978022</v>
      </c>
      <c r="CV24" s="13">
        <f t="shared" si="12"/>
        <v>1.1223364354120715</v>
      </c>
      <c r="CW24" s="13">
        <f t="shared" si="22"/>
        <v>1.5677846470785706</v>
      </c>
      <c r="CX24" s="13">
        <f t="shared" si="23"/>
        <v>1.9726024015005934</v>
      </c>
      <c r="CY24" s="15"/>
      <c r="DB24" s="12"/>
      <c r="DC24" s="13"/>
      <c r="DD24" s="13"/>
      <c r="DE24" s="13"/>
      <c r="DF24" s="15"/>
      <c r="DI24" s="12"/>
      <c r="DJ24" s="13"/>
      <c r="DK24" s="13"/>
      <c r="DL24" s="13"/>
      <c r="DM24" s="15"/>
      <c r="DP24" s="12"/>
      <c r="DQ24" s="13"/>
      <c r="DR24" s="13"/>
      <c r="DS24" s="13"/>
      <c r="DT24" s="27">
        <v>0.88435454580936135</v>
      </c>
      <c r="DU24" s="27">
        <v>0.97452788582972394</v>
      </c>
      <c r="DV24" s="27">
        <v>0.99918621032464028</v>
      </c>
      <c r="DW24" s="12">
        <v>130.79231198688561</v>
      </c>
      <c r="DX24" s="13">
        <f>DT24*DW24</f>
        <v>115.6667756625185</v>
      </c>
      <c r="DY24" s="13">
        <f>DW24*DU24</f>
        <v>127.46075528336129</v>
      </c>
      <c r="DZ24" s="13">
        <f>DW24*DV24</f>
        <v>130.68587455377425</v>
      </c>
      <c r="EA24" s="15"/>
      <c r="ED24" s="12"/>
      <c r="EE24" s="13"/>
      <c r="EF24" s="13"/>
      <c r="EG24" s="13"/>
    </row>
    <row r="25" spans="1:137">
      <c r="A25" s="8" t="s">
        <v>25</v>
      </c>
      <c r="B25" s="9">
        <v>0.38923682022893241</v>
      </c>
      <c r="C25" s="27">
        <v>9.5073510328765209E-2</v>
      </c>
      <c r="D25" s="27">
        <v>0.20712834847271039</v>
      </c>
      <c r="E25" s="27">
        <v>0.53453476414278178</v>
      </c>
      <c r="F25" s="19">
        <v>635.56999999999994</v>
      </c>
      <c r="G25" s="12">
        <v>715.65</v>
      </c>
      <c r="H25" s="13">
        <f t="shared" si="0"/>
        <v>148.23140258449519</v>
      </c>
      <c r="I25" s="13">
        <f t="shared" si="1"/>
        <v>60.425870959653295</v>
      </c>
      <c r="J25" s="14">
        <f t="shared" si="2"/>
        <v>131.64456443880053</v>
      </c>
      <c r="K25" s="14">
        <f t="shared" si="3"/>
        <v>339.7342600462278</v>
      </c>
      <c r="L25" s="15"/>
      <c r="M25" s="9"/>
      <c r="N25" s="15"/>
      <c r="O25" s="12"/>
      <c r="P25" s="13"/>
      <c r="Q25" s="13"/>
      <c r="R25" s="13"/>
      <c r="S25" s="15"/>
      <c r="T25" s="15"/>
      <c r="U25" s="15"/>
      <c r="V25" s="12"/>
      <c r="W25" s="13"/>
      <c r="X25" s="13"/>
      <c r="Y25" s="13"/>
      <c r="Z25" s="27">
        <v>0.12915199753986839</v>
      </c>
      <c r="AA25" s="27">
        <v>0.22173316837710369</v>
      </c>
      <c r="AB25" s="27">
        <v>0.32761675976440569</v>
      </c>
      <c r="AC25" s="12">
        <v>4.38</v>
      </c>
      <c r="AD25" s="13">
        <f>Z25*AC25</f>
        <v>0.56568574922462356</v>
      </c>
      <c r="AE25" s="13">
        <f t="shared" si="25"/>
        <v>0.97119127749171419</v>
      </c>
      <c r="AF25" s="13">
        <f t="shared" si="5"/>
        <v>1.4349614077680968</v>
      </c>
      <c r="AG25" s="15"/>
      <c r="AJ25" s="12"/>
      <c r="AK25" s="13"/>
      <c r="AL25" s="13"/>
      <c r="AM25" s="13"/>
      <c r="AN25" s="15"/>
      <c r="AQ25" s="12"/>
      <c r="AR25" s="13"/>
      <c r="AS25" s="13"/>
      <c r="AT25" s="13"/>
      <c r="AU25" s="15"/>
      <c r="AX25" s="12"/>
      <c r="AY25" s="13"/>
      <c r="AZ25" s="13"/>
      <c r="BA25" s="13"/>
      <c r="BB25" s="15"/>
      <c r="BE25" s="12"/>
      <c r="BF25" s="13"/>
      <c r="BG25" s="13"/>
      <c r="BH25" s="13"/>
      <c r="BI25" s="15"/>
      <c r="BJ25" s="15"/>
      <c r="BK25" s="15"/>
      <c r="BL25" s="12"/>
      <c r="BM25" s="13"/>
      <c r="BN25" s="13"/>
      <c r="BO25" s="13"/>
      <c r="BP25" s="15"/>
      <c r="BS25" s="12"/>
      <c r="BT25" s="13"/>
      <c r="BU25" s="13"/>
      <c r="BV25" s="13"/>
      <c r="BW25" s="15"/>
      <c r="BZ25" s="12"/>
      <c r="CA25" s="13"/>
      <c r="CB25" s="13"/>
      <c r="CC25" s="13"/>
      <c r="CD25" s="27">
        <v>9.2099691583685472E-2</v>
      </c>
      <c r="CE25" s="27">
        <v>0.15341377794277969</v>
      </c>
      <c r="CF25" s="27">
        <v>0.2283895546436252</v>
      </c>
      <c r="CG25" s="12">
        <v>277.04000000000002</v>
      </c>
      <c r="CH25" s="13">
        <f t="shared" si="6"/>
        <v>25.515298556344224</v>
      </c>
      <c r="CI25" s="13">
        <f t="shared" si="7"/>
        <v>42.50175304126769</v>
      </c>
      <c r="CJ25" s="13">
        <f t="shared" si="8"/>
        <v>63.273042218469932</v>
      </c>
      <c r="CK25" s="27">
        <v>0.28103228005629222</v>
      </c>
      <c r="CL25" s="27">
        <v>0.40620154232370798</v>
      </c>
      <c r="CM25" s="27">
        <v>0.51870825863932224</v>
      </c>
      <c r="CN25" s="12">
        <v>104.5</v>
      </c>
      <c r="CO25" s="13">
        <f t="shared" si="9"/>
        <v>29.367873265882537</v>
      </c>
      <c r="CP25" s="13">
        <f t="shared" si="10"/>
        <v>42.448061172827487</v>
      </c>
      <c r="CQ25" s="13">
        <f t="shared" si="11"/>
        <v>54.205013027809173</v>
      </c>
      <c r="CR25" s="27">
        <v>0.34858915397137891</v>
      </c>
      <c r="CS25" s="27">
        <v>0.48454195109371129</v>
      </c>
      <c r="CT25" s="27">
        <v>0.5981413794767324</v>
      </c>
      <c r="CU25" s="12">
        <v>38.31</v>
      </c>
      <c r="CV25" s="13">
        <f t="shared" si="12"/>
        <v>13.354450488643527</v>
      </c>
      <c r="CW25" s="13">
        <f t="shared" si="22"/>
        <v>18.562802146400081</v>
      </c>
      <c r="CX25" s="13">
        <f t="shared" si="23"/>
        <v>22.914796247753621</v>
      </c>
      <c r="CY25" s="27">
        <v>7.9851370222114276E-2</v>
      </c>
      <c r="CZ25" s="27">
        <v>0.1407240696010422</v>
      </c>
      <c r="DA25" s="27">
        <v>0.2148003014962902</v>
      </c>
      <c r="DB25" s="12">
        <v>202.92</v>
      </c>
      <c r="DC25" s="13">
        <f t="shared" si="13"/>
        <v>16.203440045471428</v>
      </c>
      <c r="DD25" s="13">
        <f t="shared" si="14"/>
        <v>28.555728203443479</v>
      </c>
      <c r="DE25" s="13">
        <f t="shared" si="15"/>
        <v>43.587277179627208</v>
      </c>
      <c r="DF25" s="27">
        <v>0.26579293821778799</v>
      </c>
      <c r="DG25" s="27">
        <v>0.38879769901896161</v>
      </c>
      <c r="DH25" s="27">
        <v>0.49625349831658072</v>
      </c>
      <c r="DI25" s="12">
        <v>8.42</v>
      </c>
      <c r="DJ25" s="13">
        <f t="shared" si="16"/>
        <v>2.2379765397937748</v>
      </c>
      <c r="DK25" s="13">
        <f t="shared" si="17"/>
        <v>3.2736766257396566</v>
      </c>
      <c r="DL25" s="13">
        <f t="shared" si="18"/>
        <v>4.1784544558256096</v>
      </c>
      <c r="DM25" s="15"/>
      <c r="DP25" s="12"/>
      <c r="DQ25" s="13"/>
      <c r="DR25" s="13"/>
      <c r="DS25" s="13"/>
      <c r="DW25" s="12"/>
      <c r="DX25" s="13"/>
      <c r="DY25" s="13"/>
      <c r="DZ25" s="13"/>
      <c r="EA25" s="15"/>
      <c r="ED25" s="12"/>
      <c r="EE25" s="13"/>
      <c r="EF25" s="13"/>
      <c r="EG25" s="13"/>
    </row>
    <row r="26" spans="1:137">
      <c r="A26" s="21" t="s">
        <v>26</v>
      </c>
      <c r="B26" s="22">
        <v>1.8126718481666091</v>
      </c>
      <c r="C26" s="27">
        <v>0.1749862602659468</v>
      </c>
      <c r="D26" s="27">
        <v>0.42548184642190739</v>
      </c>
      <c r="E26" s="27">
        <v>0.70990103328432097</v>
      </c>
      <c r="F26" s="19">
        <v>2547.5</v>
      </c>
      <c r="G26" s="12">
        <v>2810.5</v>
      </c>
      <c r="H26" s="13">
        <f t="shared" si="0"/>
        <v>1195.8167293687707</v>
      </c>
      <c r="I26" s="13">
        <f t="shared" si="1"/>
        <v>445.77749802749946</v>
      </c>
      <c r="J26" s="14">
        <f t="shared" si="2"/>
        <v>1083.915003759809</v>
      </c>
      <c r="K26" s="14">
        <f t="shared" si="3"/>
        <v>1808.4728822918078</v>
      </c>
      <c r="L26" s="15"/>
      <c r="M26" s="9"/>
      <c r="N26" s="15"/>
      <c r="O26" s="12"/>
      <c r="P26" s="13"/>
      <c r="Q26" s="13"/>
      <c r="R26" s="13"/>
      <c r="S26" s="15"/>
      <c r="T26" s="15"/>
      <c r="U26" s="15"/>
      <c r="V26" s="12"/>
      <c r="W26" s="13"/>
      <c r="X26" s="13"/>
      <c r="Y26" s="13"/>
      <c r="Z26" s="15"/>
      <c r="AC26" s="12"/>
      <c r="AD26" s="13"/>
      <c r="AE26" s="13"/>
      <c r="AF26" s="13"/>
      <c r="AG26" s="16"/>
      <c r="AH26" s="17"/>
      <c r="AI26" s="17"/>
      <c r="AJ26" s="16">
        <v>263</v>
      </c>
      <c r="AK26" s="16"/>
      <c r="AL26" s="16"/>
      <c r="AM26" s="16"/>
      <c r="AN26" s="15"/>
      <c r="AQ26" s="12"/>
      <c r="AR26" s="13"/>
      <c r="AS26" s="13"/>
      <c r="AT26" s="13"/>
      <c r="AU26" s="15"/>
      <c r="AX26" s="12"/>
      <c r="AY26" s="13"/>
      <c r="AZ26" s="13"/>
      <c r="BA26" s="13"/>
      <c r="BB26" s="15"/>
      <c r="BE26" s="12"/>
      <c r="BF26" s="13"/>
      <c r="BG26" s="13"/>
      <c r="BH26" s="13"/>
      <c r="BI26" s="15"/>
      <c r="BJ26" s="15"/>
      <c r="BK26" s="15"/>
      <c r="BL26" s="12"/>
      <c r="BM26" s="13"/>
      <c r="BN26" s="13"/>
      <c r="BO26" s="13"/>
      <c r="BP26" s="15"/>
      <c r="BS26" s="12"/>
      <c r="BT26" s="13"/>
      <c r="BU26" s="13"/>
      <c r="BV26" s="13"/>
      <c r="BW26" s="15"/>
      <c r="BZ26" s="12"/>
      <c r="CA26" s="13"/>
      <c r="CB26" s="13"/>
      <c r="CC26" s="13"/>
      <c r="CD26" s="27">
        <v>0.15641212602052279</v>
      </c>
      <c r="CE26" s="27">
        <v>0.28002806960842291</v>
      </c>
      <c r="CF26" s="27">
        <v>0.42305305330588872</v>
      </c>
      <c r="CG26" s="12">
        <v>80.420000000000073</v>
      </c>
      <c r="CH26" s="13">
        <f t="shared" si="6"/>
        <v>12.578663174570455</v>
      </c>
      <c r="CI26" s="13">
        <f t="shared" si="7"/>
        <v>22.519857357909391</v>
      </c>
      <c r="CJ26" s="13">
        <f t="shared" si="8"/>
        <v>34.021926546859603</v>
      </c>
      <c r="CK26" s="27">
        <v>0.42790699551265238</v>
      </c>
      <c r="CL26" s="27">
        <v>0.59099906176312045</v>
      </c>
      <c r="CM26" s="27">
        <v>0.72800773123702245</v>
      </c>
      <c r="CN26" s="12">
        <v>2467.08</v>
      </c>
      <c r="CO26" s="13">
        <f t="shared" si="9"/>
        <v>1055.6807904893544</v>
      </c>
      <c r="CP26" s="13">
        <f t="shared" si="10"/>
        <v>1458.0419652945591</v>
      </c>
      <c r="CQ26" s="13">
        <f t="shared" si="11"/>
        <v>1796.0533135802332</v>
      </c>
      <c r="CR26" s="15"/>
      <c r="CU26" s="12"/>
      <c r="CV26" s="13"/>
      <c r="CW26" s="13"/>
      <c r="CX26" s="13"/>
      <c r="CY26" s="15"/>
      <c r="DB26" s="12"/>
      <c r="DC26" s="13"/>
      <c r="DD26" s="13"/>
      <c r="DE26" s="13"/>
      <c r="DF26" s="15"/>
      <c r="DI26" s="12"/>
      <c r="DJ26" s="13"/>
      <c r="DK26" s="13"/>
      <c r="DL26" s="13"/>
      <c r="DM26" s="15"/>
      <c r="DP26" s="12"/>
      <c r="DQ26" s="13"/>
      <c r="DR26" s="13"/>
      <c r="DS26" s="13"/>
      <c r="DT26" s="15"/>
      <c r="DU26" s="15"/>
      <c r="DV26" s="15"/>
      <c r="DW26" s="12"/>
      <c r="DX26" s="13"/>
      <c r="DY26" s="13"/>
      <c r="DZ26" s="13"/>
      <c r="EA26" s="15"/>
      <c r="ED26" s="12"/>
      <c r="EE26" s="13"/>
      <c r="EF26" s="13"/>
      <c r="EG26" s="13"/>
    </row>
    <row r="27" spans="1:137">
      <c r="A27" s="8" t="s">
        <v>27</v>
      </c>
      <c r="B27" s="9">
        <v>-1.625252075486582</v>
      </c>
      <c r="C27" s="27">
        <v>3.1839503595066949E-4</v>
      </c>
      <c r="D27" s="27">
        <v>2.8253682041011551E-2</v>
      </c>
      <c r="E27" s="27">
        <v>0.15092959493321489</v>
      </c>
      <c r="F27" s="19">
        <v>2204.0700000000002</v>
      </c>
      <c r="G27" s="12">
        <v>3188.77</v>
      </c>
      <c r="H27" s="13">
        <f t="shared" si="0"/>
        <v>90.094493681916404</v>
      </c>
      <c r="I27" s="13">
        <f t="shared" si="1"/>
        <v>0.70176494688779212</v>
      </c>
      <c r="J27" s="14">
        <f t="shared" si="2"/>
        <v>62.273092976132332</v>
      </c>
      <c r="K27" s="14">
        <f t="shared" si="3"/>
        <v>332.65939230445099</v>
      </c>
      <c r="L27" s="15"/>
      <c r="M27" s="9"/>
      <c r="N27" s="15"/>
      <c r="O27" s="12"/>
      <c r="P27" s="13"/>
      <c r="Q27" s="13"/>
      <c r="R27" s="13"/>
      <c r="S27" s="15"/>
      <c r="T27" s="15"/>
      <c r="U27" s="15"/>
      <c r="V27" s="12"/>
      <c r="W27" s="13"/>
      <c r="X27" s="13"/>
      <c r="Y27" s="13"/>
      <c r="Z27" s="27">
        <v>7.8308377113353242E-3</v>
      </c>
      <c r="AA27" s="27">
        <v>3.6449906304441559E-2</v>
      </c>
      <c r="AB27" s="27">
        <v>8.5145335626912011E-2</v>
      </c>
      <c r="AC27" s="12">
        <v>88.92</v>
      </c>
      <c r="AD27" s="13">
        <f>Z27*AC27</f>
        <v>0.69631808929193706</v>
      </c>
      <c r="AE27" s="13">
        <f t="shared" si="25"/>
        <v>3.2411256685909433</v>
      </c>
      <c r="AF27" s="13">
        <f t="shared" si="5"/>
        <v>7.5711232439450162</v>
      </c>
      <c r="AG27" s="15"/>
      <c r="AH27" s="15"/>
      <c r="AI27" s="15"/>
      <c r="AJ27" s="12"/>
      <c r="AK27" s="13"/>
      <c r="AL27" s="13"/>
      <c r="AM27" s="13"/>
      <c r="AN27" s="15"/>
      <c r="AO27" s="15"/>
      <c r="AP27" s="15"/>
      <c r="AQ27" s="12"/>
      <c r="AR27" s="13"/>
      <c r="AS27" s="13"/>
      <c r="AT27" s="13"/>
      <c r="AU27" s="15"/>
      <c r="AV27" s="15"/>
      <c r="AW27" s="15"/>
      <c r="AX27" s="12"/>
      <c r="AY27" s="13"/>
      <c r="AZ27" s="13"/>
      <c r="BA27" s="13"/>
      <c r="BB27" s="15"/>
      <c r="BC27" s="15"/>
      <c r="BD27" s="15"/>
      <c r="BE27" s="12"/>
      <c r="BF27" s="13"/>
      <c r="BG27" s="13"/>
      <c r="BH27" s="13"/>
      <c r="BI27" s="15"/>
      <c r="BJ27" s="15"/>
      <c r="BK27" s="15"/>
      <c r="BL27" s="12"/>
      <c r="BM27" s="13"/>
      <c r="BN27" s="13"/>
      <c r="BO27" s="13"/>
      <c r="BP27" s="15"/>
      <c r="BS27" s="12"/>
      <c r="BT27" s="13"/>
      <c r="BU27" s="13"/>
      <c r="BV27" s="13"/>
      <c r="BW27" s="15"/>
      <c r="BX27" s="15"/>
      <c r="BY27" s="15"/>
      <c r="BZ27" s="12"/>
      <c r="CA27" s="13"/>
      <c r="CB27" s="13"/>
      <c r="CC27" s="13"/>
      <c r="CD27" s="27">
        <v>5.4847235035837523E-3</v>
      </c>
      <c r="CE27" s="27">
        <v>2.3770620750571431E-2</v>
      </c>
      <c r="CF27" s="27">
        <v>5.4267087042770203E-2</v>
      </c>
      <c r="CG27" s="12">
        <v>236.96</v>
      </c>
      <c r="CH27" s="13">
        <f t="shared" si="6"/>
        <v>1.2996600814092061</v>
      </c>
      <c r="CI27" s="13">
        <f t="shared" si="7"/>
        <v>5.6326862930554062</v>
      </c>
      <c r="CJ27" s="13">
        <f t="shared" si="8"/>
        <v>12.859128945654827</v>
      </c>
      <c r="CK27" s="27">
        <v>1.9680198240017498E-2</v>
      </c>
      <c r="CL27" s="27">
        <v>8.3363547122528497E-2</v>
      </c>
      <c r="CM27" s="27">
        <v>0.17907423417472329</v>
      </c>
      <c r="CN27" s="12">
        <v>212.23</v>
      </c>
      <c r="CO27" s="13">
        <f t="shared" si="9"/>
        <v>4.1767284724789135</v>
      </c>
      <c r="CP27" s="13">
        <f t="shared" si="10"/>
        <v>17.692245605814222</v>
      </c>
      <c r="CQ27" s="13">
        <f t="shared" si="11"/>
        <v>38.00492471890152</v>
      </c>
      <c r="CR27" s="27">
        <v>2.7124199598351991E-2</v>
      </c>
      <c r="CS27" s="27">
        <v>0.11097054985055541</v>
      </c>
      <c r="CT27" s="27">
        <v>0.232739084762557</v>
      </c>
      <c r="CU27" s="12">
        <v>16.77</v>
      </c>
      <c r="CV27" s="13">
        <f t="shared" si="12"/>
        <v>0.4548728272643629</v>
      </c>
      <c r="CW27" s="13">
        <f t="shared" si="22"/>
        <v>1.860976120993814</v>
      </c>
      <c r="CX27" s="13">
        <f t="shared" si="23"/>
        <v>3.903034451468081</v>
      </c>
      <c r="CY27" s="27">
        <v>4.7660167153571057E-3</v>
      </c>
      <c r="CZ27" s="27">
        <v>2.1268135735621169E-2</v>
      </c>
      <c r="DA27" s="27">
        <v>5.0038610728851587E-2</v>
      </c>
      <c r="DB27" s="12">
        <v>1618.15</v>
      </c>
      <c r="DC27" s="13">
        <f t="shared" si="13"/>
        <v>7.7121299479551011</v>
      </c>
      <c r="DD27" s="13">
        <f t="shared" si="14"/>
        <v>34.415033840595399</v>
      </c>
      <c r="DE27" s="13">
        <f t="shared" si="15"/>
        <v>80.969977950891206</v>
      </c>
      <c r="DF27" s="27">
        <v>1.8258747664080449E-2</v>
      </c>
      <c r="DG27" s="27">
        <v>7.8091747193122452E-2</v>
      </c>
      <c r="DH27" s="27">
        <v>0.17385904613284031</v>
      </c>
      <c r="DI27" s="12">
        <v>20.81</v>
      </c>
      <c r="DJ27" s="13">
        <f t="shared" si="16"/>
        <v>0.37996453888951415</v>
      </c>
      <c r="DK27" s="13">
        <f t="shared" si="17"/>
        <v>1.6250892590888781</v>
      </c>
      <c r="DL27" s="13">
        <f t="shared" si="18"/>
        <v>3.6180067500244069</v>
      </c>
      <c r="DM27" s="27">
        <v>3.7085848764474633E-5</v>
      </c>
      <c r="DN27" s="27">
        <v>1.0239775096492459E-3</v>
      </c>
      <c r="DO27" s="27">
        <v>6.787063048609091E-3</v>
      </c>
      <c r="DP27" s="12">
        <v>10.23</v>
      </c>
      <c r="DQ27" s="13">
        <f t="shared" si="24"/>
        <v>3.7938823286057553E-4</v>
      </c>
      <c r="DR27" s="13">
        <f t="shared" si="26"/>
        <v>1.0475289923711786E-2</v>
      </c>
      <c r="DS27" s="13">
        <f t="shared" si="27"/>
        <v>6.943165498727101E-2</v>
      </c>
      <c r="DW27" s="12"/>
      <c r="DX27" s="13"/>
      <c r="DY27" s="13"/>
      <c r="DZ27" s="13"/>
      <c r="EA27" s="15"/>
      <c r="ED27" s="12"/>
      <c r="EE27" s="13"/>
      <c r="EF27" s="13"/>
      <c r="EG27" s="13"/>
    </row>
    <row r="28" spans="1:137">
      <c r="A28" s="8" t="s">
        <v>28</v>
      </c>
      <c r="B28" s="9">
        <v>-4.0536556486157078</v>
      </c>
      <c r="C28" s="27">
        <v>4.7175732705216302E-4</v>
      </c>
      <c r="D28" s="27">
        <v>4.2101098187735657E-2</v>
      </c>
      <c r="E28" s="27">
        <v>0.20752677345711371</v>
      </c>
      <c r="F28" s="19">
        <v>660.06000000000006</v>
      </c>
      <c r="G28" s="12">
        <v>1526.4700000000003</v>
      </c>
      <c r="H28" s="13">
        <f t="shared" si="0"/>
        <v>64.266063350632862</v>
      </c>
      <c r="I28" s="13">
        <f t="shared" si="1"/>
        <v>0.31138814129405074</v>
      </c>
      <c r="J28" s="14">
        <f t="shared" si="2"/>
        <v>27.789250869796799</v>
      </c>
      <c r="K28" s="14">
        <f t="shared" si="3"/>
        <v>136.98012208810249</v>
      </c>
      <c r="L28" s="15"/>
      <c r="M28" s="9"/>
      <c r="N28" s="15"/>
      <c r="O28" s="12"/>
      <c r="P28" s="13"/>
      <c r="Q28" s="13"/>
      <c r="R28" s="13"/>
      <c r="S28" s="15"/>
      <c r="T28" s="15"/>
      <c r="U28" s="15"/>
      <c r="V28" s="12"/>
      <c r="W28" s="13"/>
      <c r="X28" s="13"/>
      <c r="Y28" s="13"/>
      <c r="Z28" s="27">
        <v>8.3778888570335257E-3</v>
      </c>
      <c r="AA28" s="27">
        <v>5.5232716674267712E-2</v>
      </c>
      <c r="AB28" s="27">
        <v>0.1134506726504781</v>
      </c>
      <c r="AC28" s="12">
        <v>216.38</v>
      </c>
      <c r="AD28" s="13">
        <f>Z28*AC28</f>
        <v>1.8128075908849142</v>
      </c>
      <c r="AE28" s="13">
        <f t="shared" si="25"/>
        <v>11.951255233978047</v>
      </c>
      <c r="AF28" s="13">
        <f t="shared" si="5"/>
        <v>24.548456548110451</v>
      </c>
      <c r="AG28" s="15"/>
      <c r="AH28" s="15"/>
      <c r="AI28" s="15"/>
      <c r="AJ28" s="12"/>
      <c r="AK28" s="13"/>
      <c r="AL28" s="13"/>
      <c r="AM28" s="13"/>
      <c r="AN28" s="15"/>
      <c r="AO28" s="15"/>
      <c r="AP28" s="15"/>
      <c r="AQ28" s="12"/>
      <c r="AR28" s="13"/>
      <c r="AS28" s="13"/>
      <c r="AT28" s="13"/>
      <c r="AU28" s="15"/>
      <c r="AV28" s="15"/>
      <c r="AW28" s="15"/>
      <c r="AX28" s="12"/>
      <c r="AY28" s="13"/>
      <c r="AZ28" s="13"/>
      <c r="BA28" s="13"/>
      <c r="BB28" s="15"/>
      <c r="BC28" s="15"/>
      <c r="BD28" s="15"/>
      <c r="BE28" s="12"/>
      <c r="BF28" s="13"/>
      <c r="BG28" s="13"/>
      <c r="BH28" s="13"/>
      <c r="BI28" s="15"/>
      <c r="BJ28" s="15"/>
      <c r="BK28" s="15"/>
      <c r="BL28" s="12"/>
      <c r="BM28" s="13"/>
      <c r="BN28" s="13"/>
      <c r="BO28" s="13"/>
      <c r="BP28" s="15"/>
      <c r="BS28" s="12"/>
      <c r="BT28" s="13"/>
      <c r="BU28" s="13"/>
      <c r="BV28" s="13"/>
      <c r="BW28" s="15"/>
      <c r="BX28" s="15"/>
      <c r="BY28" s="15"/>
      <c r="BZ28" s="12"/>
      <c r="CA28" s="13"/>
      <c r="CB28" s="13"/>
      <c r="CC28" s="13"/>
      <c r="CD28" s="27">
        <v>5.8016367611035697E-3</v>
      </c>
      <c r="CE28" s="27">
        <v>3.6009661102444919E-2</v>
      </c>
      <c r="CF28" s="27">
        <v>7.3312799828047753E-2</v>
      </c>
      <c r="CG28" s="12">
        <v>48.009999999999991</v>
      </c>
      <c r="CH28" s="13">
        <f t="shared" si="6"/>
        <v>0.27853658090058231</v>
      </c>
      <c r="CI28" s="13">
        <f t="shared" si="7"/>
        <v>1.7288238295283802</v>
      </c>
      <c r="CJ28" s="13">
        <f t="shared" si="8"/>
        <v>3.519747519744572</v>
      </c>
      <c r="CK28" s="27">
        <v>2.1113177943001559E-2</v>
      </c>
      <c r="CL28" s="27">
        <v>0.1240472018769144</v>
      </c>
      <c r="CM28" s="27">
        <v>0.226965478582974</v>
      </c>
      <c r="CN28" s="12">
        <v>88.31</v>
      </c>
      <c r="CO28" s="13">
        <f t="shared" si="9"/>
        <v>1.8645047441464677</v>
      </c>
      <c r="CP28" s="13">
        <f t="shared" si="10"/>
        <v>10.954608397750311</v>
      </c>
      <c r="CQ28" s="13">
        <f t="shared" si="11"/>
        <v>20.043321413662433</v>
      </c>
      <c r="CR28" s="27">
        <v>2.860805892665556E-2</v>
      </c>
      <c r="CS28" s="27">
        <v>0.16235478885064461</v>
      </c>
      <c r="CT28" s="27">
        <v>0.29126722501941532</v>
      </c>
      <c r="CU28" s="12">
        <v>45.28</v>
      </c>
      <c r="CV28" s="13">
        <f t="shared" si="12"/>
        <v>1.2953729081989638</v>
      </c>
      <c r="CW28" s="13">
        <f t="shared" si="22"/>
        <v>7.3514248391571879</v>
      </c>
      <c r="CX28" s="13">
        <f t="shared" si="23"/>
        <v>13.188579948879125</v>
      </c>
      <c r="CY28" s="27">
        <v>5.0496709127504256E-3</v>
      </c>
      <c r="CZ28" s="27">
        <v>3.2373867521186261E-2</v>
      </c>
      <c r="DA28" s="27">
        <v>6.699951385773216E-2</v>
      </c>
      <c r="DB28" s="12">
        <v>215.01</v>
      </c>
      <c r="DC28" s="13">
        <f t="shared" si="13"/>
        <v>1.0857297429504689</v>
      </c>
      <c r="DD28" s="13">
        <f t="shared" si="14"/>
        <v>6.9607052557302573</v>
      </c>
      <c r="DE28" s="13">
        <f t="shared" si="15"/>
        <v>14.405565474550992</v>
      </c>
      <c r="DF28" s="27">
        <v>1.9485486009898179E-2</v>
      </c>
      <c r="DG28" s="27">
        <v>0.115577879579778</v>
      </c>
      <c r="DH28" s="27">
        <v>0.21516288463850469</v>
      </c>
      <c r="DI28" s="12">
        <v>11.75</v>
      </c>
      <c r="DJ28" s="13">
        <f t="shared" si="16"/>
        <v>0.22895446061630362</v>
      </c>
      <c r="DK28" s="13">
        <f t="shared" si="17"/>
        <v>1.3580400850623915</v>
      </c>
      <c r="DL28" s="13">
        <f t="shared" si="18"/>
        <v>2.5281638945024301</v>
      </c>
      <c r="DM28" s="27">
        <v>3.9400842918895702E-5</v>
      </c>
      <c r="DN28" s="27">
        <v>1.513373669908403E-3</v>
      </c>
      <c r="DO28" s="27">
        <v>1.036165149268123E-2</v>
      </c>
      <c r="DP28" s="12">
        <v>35.32</v>
      </c>
      <c r="DQ28" s="13">
        <f t="shared" si="24"/>
        <v>1.3916377718953962E-3</v>
      </c>
      <c r="DR28" s="13">
        <f t="shared" si="26"/>
        <v>5.3452358021164791E-2</v>
      </c>
      <c r="DS28" s="13">
        <f t="shared" si="27"/>
        <v>0.36597353072150107</v>
      </c>
      <c r="DW28" s="12"/>
      <c r="DX28" s="13"/>
      <c r="DY28" s="13"/>
      <c r="DZ28" s="13"/>
      <c r="EA28" s="15"/>
      <c r="ED28" s="12"/>
      <c r="EE28" s="13"/>
      <c r="EF28" s="13"/>
      <c r="EG28" s="13"/>
    </row>
    <row r="29" spans="1:137">
      <c r="A29" s="18" t="s">
        <v>29</v>
      </c>
      <c r="B29" s="9">
        <v>1.749869028749087</v>
      </c>
      <c r="C29" s="27">
        <v>4.9646016947876787E-3</v>
      </c>
      <c r="D29" s="27">
        <v>0.23155858367624749</v>
      </c>
      <c r="E29" s="27">
        <v>0.58232093476843738</v>
      </c>
      <c r="F29" s="11">
        <v>660.31428570473315</v>
      </c>
      <c r="G29" s="12">
        <v>661.00433995427125</v>
      </c>
      <c r="H29" s="13">
        <f t="shared" si="0"/>
        <v>153.06122876366385</v>
      </c>
      <c r="I29" s="13">
        <f t="shared" si="1"/>
        <v>3.2781974219022336</v>
      </c>
      <c r="J29" s="14">
        <f t="shared" si="2"/>
        <v>152.90144077898105</v>
      </c>
      <c r="K29" s="14">
        <f t="shared" si="3"/>
        <v>384.51483209253325</v>
      </c>
      <c r="L29" s="15"/>
      <c r="M29" s="9"/>
      <c r="N29" s="15"/>
      <c r="O29" s="12"/>
      <c r="P29" s="13"/>
      <c r="Q29" s="13"/>
      <c r="R29" s="13"/>
      <c r="S29" s="15"/>
      <c r="T29" s="15"/>
      <c r="U29" s="15"/>
      <c r="V29" s="12"/>
      <c r="W29" s="13"/>
      <c r="X29" s="13"/>
      <c r="Y29" s="13"/>
      <c r="Z29" s="27">
        <v>0.18794434623653741</v>
      </c>
      <c r="AA29" s="27">
        <v>0.26877885041174387</v>
      </c>
      <c r="AB29" s="27">
        <v>0.35555112451864418</v>
      </c>
      <c r="AC29" s="12">
        <v>13.66708860739722</v>
      </c>
      <c r="AD29" s="13">
        <f>Z29*AC29</f>
        <v>2.5686520332740992</v>
      </c>
      <c r="AE29" s="13">
        <f t="shared" si="25"/>
        <v>3.6734243643716664</v>
      </c>
      <c r="AF29" s="13">
        <f t="shared" si="5"/>
        <v>4.8593487232560326</v>
      </c>
      <c r="AG29" s="15"/>
      <c r="AH29" s="15"/>
      <c r="AI29" s="15"/>
      <c r="AJ29" s="12"/>
      <c r="AK29" s="13"/>
      <c r="AL29" s="13"/>
      <c r="AM29" s="13"/>
      <c r="AN29" s="15"/>
      <c r="AO29" s="15"/>
      <c r="AP29" s="15"/>
      <c r="AQ29" s="12"/>
      <c r="AR29" s="13"/>
      <c r="AS29" s="13"/>
      <c r="AT29" s="13"/>
      <c r="AU29" s="15"/>
      <c r="AV29" s="15"/>
      <c r="AW29" s="15"/>
      <c r="AX29" s="12"/>
      <c r="AY29" s="13"/>
      <c r="AZ29" s="13"/>
      <c r="BA29" s="13"/>
      <c r="BB29" s="15"/>
      <c r="BC29" s="15"/>
      <c r="BD29" s="15"/>
      <c r="BE29" s="12"/>
      <c r="BF29" s="13"/>
      <c r="BG29" s="13"/>
      <c r="BH29" s="13"/>
      <c r="BI29" s="15"/>
      <c r="BJ29" s="15"/>
      <c r="BK29" s="15"/>
      <c r="BL29" s="12"/>
      <c r="BM29" s="13"/>
      <c r="BN29" s="13"/>
      <c r="BO29" s="13"/>
      <c r="BP29" s="27">
        <v>0.36094715169165709</v>
      </c>
      <c r="BQ29" s="27">
        <v>0.47241257353856098</v>
      </c>
      <c r="BR29" s="27">
        <v>0.57316690440428164</v>
      </c>
      <c r="BS29" s="12">
        <v>0.42766726943323452</v>
      </c>
      <c r="BT29" s="13">
        <f t="shared" si="29"/>
        <v>0.15436528277367448</v>
      </c>
      <c r="BU29" s="13">
        <f t="shared" si="34"/>
        <v>0.20203539537116347</v>
      </c>
      <c r="BV29" s="13">
        <f t="shared" si="35"/>
        <v>0.2451247249360789</v>
      </c>
      <c r="BW29" s="15"/>
      <c r="BX29" s="15"/>
      <c r="BY29" s="15"/>
      <c r="BZ29" s="12"/>
      <c r="CA29" s="13"/>
      <c r="CB29" s="13"/>
      <c r="CC29" s="13"/>
      <c r="CD29" s="27">
        <v>0.1318893842835068</v>
      </c>
      <c r="CE29" s="27">
        <v>0.18979705188025761</v>
      </c>
      <c r="CF29" s="27">
        <v>0.25828538149937208</v>
      </c>
      <c r="CG29" s="12">
        <v>25.47793851681044</v>
      </c>
      <c r="CH29" s="13">
        <f t="shared" si="6"/>
        <v>3.3602696237951712</v>
      </c>
      <c r="CI29" s="13">
        <f t="shared" si="7"/>
        <v>4.8356376184770848</v>
      </c>
      <c r="CJ29" s="13">
        <f t="shared" si="8"/>
        <v>6.5805790696319306</v>
      </c>
      <c r="CK29" s="27">
        <v>0.36830355742132798</v>
      </c>
      <c r="CL29" s="27">
        <v>0.46902615753864352</v>
      </c>
      <c r="CM29" s="27">
        <v>0.56362776147368099</v>
      </c>
      <c r="CN29" s="12">
        <v>59.712477395157869</v>
      </c>
      <c r="CO29" s="13">
        <f t="shared" si="9"/>
        <v>21.992317847077274</v>
      </c>
      <c r="CP29" s="13">
        <f t="shared" si="10"/>
        <v>28.006713829764003</v>
      </c>
      <c r="CQ29" s="13">
        <f t="shared" si="11"/>
        <v>33.655609966280608</v>
      </c>
      <c r="CR29" s="27">
        <v>0.4400701468395154</v>
      </c>
      <c r="CS29" s="27">
        <v>0.54934369699377794</v>
      </c>
      <c r="CT29" s="27">
        <v>0.63863315094055506</v>
      </c>
      <c r="CU29" s="12">
        <v>113.0904159115647</v>
      </c>
      <c r="CV29" s="13">
        <f t="shared" si="12"/>
        <v>49.767715936344146</v>
      </c>
      <c r="CW29" s="13">
        <f t="shared" si="22"/>
        <v>62.125507171422925</v>
      </c>
      <c r="CX29" s="13">
        <f t="shared" si="23"/>
        <v>72.223288654780447</v>
      </c>
      <c r="CY29" s="27">
        <v>0.1143058633653305</v>
      </c>
      <c r="CZ29" s="27">
        <v>0.17513241297782689</v>
      </c>
      <c r="DA29" s="27">
        <v>0.247084546688841</v>
      </c>
      <c r="DB29" s="12">
        <v>351.10253164049038</v>
      </c>
      <c r="DC29" s="13">
        <f t="shared" si="13"/>
        <v>40.133078008919519</v>
      </c>
      <c r="DD29" s="13">
        <f t="shared" si="14"/>
        <v>61.489433568822896</v>
      </c>
      <c r="DE29" s="13">
        <f t="shared" si="15"/>
        <v>86.752009871695023</v>
      </c>
      <c r="DF29" s="27">
        <v>0.35368823447158959</v>
      </c>
      <c r="DG29" s="27">
        <v>0.45180648120271882</v>
      </c>
      <c r="DH29" s="27">
        <v>0.54623012230720425</v>
      </c>
      <c r="DI29" s="12">
        <v>16.63128390572685</v>
      </c>
      <c r="DJ29" s="13">
        <f t="shared" si="16"/>
        <v>5.8822894416122926</v>
      </c>
      <c r="DK29" s="13">
        <f t="shared" si="17"/>
        <v>7.5141218593298582</v>
      </c>
      <c r="DL29" s="13">
        <f t="shared" si="18"/>
        <v>9.0845082419510153</v>
      </c>
      <c r="DM29" s="27">
        <v>4.4755500853229529E-4</v>
      </c>
      <c r="DN29" s="27">
        <v>1.0857210447917501E-2</v>
      </c>
      <c r="DO29" s="27">
        <v>4.7954648328344958E-2</v>
      </c>
      <c r="DP29" s="12">
        <v>11.06528028917085</v>
      </c>
      <c r="DQ29" s="13">
        <f t="shared" si="24"/>
        <v>4.9523216142320992E-3</v>
      </c>
      <c r="DR29" s="13">
        <f t="shared" si="26"/>
        <v>0.12013807676472134</v>
      </c>
      <c r="DS29" s="13">
        <f t="shared" si="27"/>
        <v>0.53063162492175531</v>
      </c>
      <c r="DW29" s="12"/>
      <c r="DX29" s="13"/>
      <c r="DY29" s="13"/>
      <c r="DZ29" s="13"/>
      <c r="EA29" s="27">
        <v>0.1233224005592404</v>
      </c>
      <c r="EB29" s="27">
        <v>0.19740589834855671</v>
      </c>
      <c r="EC29" s="27">
        <v>0.28907985221096089</v>
      </c>
      <c r="ED29" s="12">
        <v>69.13960216898171</v>
      </c>
      <c r="EE29" s="13">
        <f t="shared" si="19"/>
        <v>8.5264617131896898</v>
      </c>
      <c r="EF29" s="13">
        <f t="shared" si="20"/>
        <v>13.648565277629654</v>
      </c>
      <c r="EG29" s="13">
        <f t="shared" si="21"/>
        <v>19.986865976933863</v>
      </c>
    </row>
    <row r="30" spans="1:137">
      <c r="A30" s="18" t="s">
        <v>30</v>
      </c>
      <c r="B30" s="9">
        <v>2.6185434192063868</v>
      </c>
      <c r="C30" s="27">
        <v>0.1278548737017505</v>
      </c>
      <c r="D30" s="27">
        <v>0.53736874859543426</v>
      </c>
      <c r="E30" s="27">
        <v>0.74004870155213665</v>
      </c>
      <c r="F30" s="11">
        <v>301.31982343499203</v>
      </c>
      <c r="G30" s="12">
        <v>302.01638576779021</v>
      </c>
      <c r="H30" s="13">
        <f t="shared" si="0"/>
        <v>162.29416727535335</v>
      </c>
      <c r="I30" s="13">
        <f t="shared" si="1"/>
        <v>38.525207969114668</v>
      </c>
      <c r="J30" s="14">
        <f t="shared" si="2"/>
        <v>161.91985644625888</v>
      </c>
      <c r="K30" s="14">
        <f t="shared" si="3"/>
        <v>222.99134408498492</v>
      </c>
      <c r="L30" s="27">
        <v>1.4414348861445381E-3</v>
      </c>
      <c r="M30" s="27">
        <v>5.5853339961327998E-2</v>
      </c>
      <c r="N30" s="27">
        <v>0.20904508751303191</v>
      </c>
      <c r="O30" s="12">
        <v>0.19428838951310859</v>
      </c>
      <c r="P30" s="13">
        <f>L30*O30</f>
        <v>2.8005406261703337E-4</v>
      </c>
      <c r="Q30" s="13">
        <f>O30*M30</f>
        <v>1.0851655470014567E-2</v>
      </c>
      <c r="R30" s="13">
        <f>N30*O30</f>
        <v>4.0615033388533818E-2</v>
      </c>
      <c r="S30" s="15"/>
      <c r="T30" s="15"/>
      <c r="U30" s="15"/>
      <c r="V30" s="12"/>
      <c r="W30" s="13"/>
      <c r="X30" s="13"/>
      <c r="Y30" s="13"/>
      <c r="Z30" s="15"/>
      <c r="AC30" s="12"/>
      <c r="AD30" s="13"/>
      <c r="AE30" s="13"/>
      <c r="AF30" s="13"/>
      <c r="AG30" s="27">
        <v>0.54533304916010683</v>
      </c>
      <c r="AH30" s="27">
        <v>0.65437972635064301</v>
      </c>
      <c r="AI30" s="27">
        <v>0.7663826408702894</v>
      </c>
      <c r="AJ30" s="12">
        <v>13.039727126805779</v>
      </c>
      <c r="AK30" s="13">
        <f t="shared" si="30"/>
        <v>7.1109941542767547</v>
      </c>
      <c r="AL30" s="13">
        <f t="shared" si="37"/>
        <v>8.5329330689262228</v>
      </c>
      <c r="AM30" s="13">
        <f t="shared" si="38"/>
        <v>9.9934205116693651</v>
      </c>
      <c r="AN30" s="27">
        <v>0.50600993827329177</v>
      </c>
      <c r="AO30" s="27">
        <v>0.59945411679881122</v>
      </c>
      <c r="AP30" s="27">
        <v>0.68598283179765762</v>
      </c>
      <c r="AQ30" s="12">
        <v>46.517522739432863</v>
      </c>
      <c r="AR30" s="13">
        <f t="shared" si="28"/>
        <v>23.53832881000687</v>
      </c>
      <c r="AS30" s="13">
        <f t="shared" si="31"/>
        <v>27.885120509435346</v>
      </c>
      <c r="AT30" s="13">
        <f t="shared" si="32"/>
        <v>31.910221977008089</v>
      </c>
      <c r="AU30" s="27">
        <v>0.59794536511920748</v>
      </c>
      <c r="AV30" s="27">
        <v>0.68546358230218352</v>
      </c>
      <c r="AW30" s="27">
        <v>0.76539653248534145</v>
      </c>
      <c r="AX30" s="12">
        <v>136.6552300695559</v>
      </c>
      <c r="AY30" s="13">
        <f>AU30*AX30</f>
        <v>81.712361439389909</v>
      </c>
      <c r="AZ30" s="13">
        <f t="shared" si="44"/>
        <v>93.672183543806852</v>
      </c>
      <c r="BA30" s="13">
        <f t="shared" si="45"/>
        <v>104.59543924122465</v>
      </c>
      <c r="BB30" s="27">
        <v>0.45600927882416298</v>
      </c>
      <c r="BC30" s="27">
        <v>0.5636740402260173</v>
      </c>
      <c r="BD30" s="27">
        <v>0.66042429353272769</v>
      </c>
      <c r="BE30" s="12">
        <v>8.6908105939004834</v>
      </c>
      <c r="BF30" s="13">
        <f t="shared" si="33"/>
        <v>3.9630902713219549</v>
      </c>
      <c r="BG30" s="13">
        <f t="shared" si="46"/>
        <v>4.8987843203029584</v>
      </c>
      <c r="BH30" s="13">
        <f t="shared" si="41"/>
        <v>5.7396224467034722</v>
      </c>
      <c r="BI30" s="15"/>
      <c r="BJ30" s="15"/>
      <c r="BK30" s="15"/>
      <c r="BL30" s="12"/>
      <c r="BM30" s="13"/>
      <c r="BN30" s="13"/>
      <c r="BO30" s="13"/>
      <c r="BP30" s="27">
        <v>0.34219127238483521</v>
      </c>
      <c r="BQ30" s="27">
        <v>0.440863475457692</v>
      </c>
      <c r="BR30" s="27">
        <v>0.53007819114447119</v>
      </c>
      <c r="BS30" s="12">
        <v>48.478932584269671</v>
      </c>
      <c r="BT30" s="13">
        <f t="shared" si="29"/>
        <v>16.589067624869887</v>
      </c>
      <c r="BU30" s="13">
        <f t="shared" si="34"/>
        <v>21.372590705580276</v>
      </c>
      <c r="BV30" s="13">
        <f t="shared" si="35"/>
        <v>25.697624892884431</v>
      </c>
      <c r="BW30" s="27">
        <v>7.5710963651102095E-2</v>
      </c>
      <c r="BX30" s="27">
        <v>0.151709429446552</v>
      </c>
      <c r="BY30" s="27">
        <v>0.24695157162786749</v>
      </c>
      <c r="BZ30" s="12">
        <v>0.50561797752809001</v>
      </c>
      <c r="CA30" s="13">
        <f t="shared" si="36"/>
        <v>3.8280824317972979E-2</v>
      </c>
      <c r="CB30" s="13">
        <f t="shared" si="42"/>
        <v>7.6707014888706085E-2</v>
      </c>
      <c r="CC30" s="13">
        <f t="shared" si="43"/>
        <v>0.12486315419386562</v>
      </c>
      <c r="CD30" s="15"/>
      <c r="CG30" s="12"/>
      <c r="CH30" s="13"/>
      <c r="CI30" s="13"/>
      <c r="CJ30" s="13"/>
      <c r="CK30" s="27">
        <v>0.34310118503603532</v>
      </c>
      <c r="CL30" s="27">
        <v>0.43737266404102387</v>
      </c>
      <c r="CM30" s="27">
        <v>0.52458133369442128</v>
      </c>
      <c r="CN30" s="12">
        <v>0.7263242375601926</v>
      </c>
      <c r="CO30" s="13">
        <f t="shared" si="9"/>
        <v>0.2492027066272969</v>
      </c>
      <c r="CP30" s="13">
        <f t="shared" si="10"/>
        <v>0.31767436673926691</v>
      </c>
      <c r="CQ30" s="13">
        <f t="shared" si="11"/>
        <v>0.38101613723390954</v>
      </c>
      <c r="CR30" s="27">
        <v>0.42531388669255282</v>
      </c>
      <c r="CS30" s="27">
        <v>0.51642913463955464</v>
      </c>
      <c r="CT30" s="27">
        <v>0.59805569726385743</v>
      </c>
      <c r="CU30" s="12">
        <v>40.830925628678443</v>
      </c>
      <c r="CV30" s="13">
        <f t="shared" si="12"/>
        <v>17.365959676387796</v>
      </c>
      <c r="CW30" s="13">
        <f t="shared" si="22"/>
        <v>21.086279588950422</v>
      </c>
      <c r="CX30" s="13">
        <f t="shared" si="23"/>
        <v>24.419167696787994</v>
      </c>
      <c r="CY30" s="16"/>
      <c r="CZ30" s="17"/>
      <c r="DA30" s="17"/>
      <c r="DB30" s="16">
        <v>0.40395933654360622</v>
      </c>
      <c r="DC30" s="16"/>
      <c r="DD30" s="16"/>
      <c r="DE30" s="16"/>
      <c r="DF30" s="27">
        <v>0.3255974399903373</v>
      </c>
      <c r="DG30" s="27">
        <v>0.42043510191581052</v>
      </c>
      <c r="DH30" s="27">
        <v>0.50932175936289326</v>
      </c>
      <c r="DI30" s="12">
        <v>5.6804440877474596</v>
      </c>
      <c r="DJ30" s="13">
        <f t="shared" si="16"/>
        <v>1.8495380529788197</v>
      </c>
      <c r="DK30" s="13">
        <f t="shared" si="17"/>
        <v>2.3882580889591662</v>
      </c>
      <c r="DL30" s="13">
        <f t="shared" si="18"/>
        <v>2.8931737767340815</v>
      </c>
      <c r="DM30" s="15"/>
      <c r="DP30" s="12"/>
      <c r="DQ30" s="13"/>
      <c r="DR30" s="13"/>
      <c r="DS30" s="13"/>
      <c r="DW30" s="12"/>
      <c r="DX30" s="13"/>
      <c r="DY30" s="13"/>
      <c r="DZ30" s="13"/>
      <c r="EA30" s="15"/>
      <c r="ED30" s="12"/>
      <c r="EE30" s="13"/>
      <c r="EF30" s="13"/>
      <c r="EG30" s="13"/>
    </row>
    <row r="31" spans="1:137">
      <c r="A31" s="8" t="s">
        <v>31</v>
      </c>
      <c r="B31" s="9">
        <v>1.262962285715753</v>
      </c>
      <c r="C31" s="27">
        <v>3.1546294157852872E-3</v>
      </c>
      <c r="D31" s="27">
        <v>0.2048346140463593</v>
      </c>
      <c r="E31" s="27">
        <v>0.56449243697569862</v>
      </c>
      <c r="F31" s="11">
        <v>717.29</v>
      </c>
      <c r="G31" s="12">
        <v>752.06</v>
      </c>
      <c r="H31" s="13">
        <f t="shared" si="0"/>
        <v>154.04791983970497</v>
      </c>
      <c r="I31" s="13">
        <f t="shared" si="1"/>
        <v>2.2627841336486285</v>
      </c>
      <c r="J31" s="14">
        <f t="shared" si="2"/>
        <v>146.92582030931305</v>
      </c>
      <c r="K31" s="14">
        <f t="shared" si="3"/>
        <v>404.90478011829885</v>
      </c>
      <c r="L31" s="16"/>
      <c r="M31" s="26"/>
      <c r="N31" s="16"/>
      <c r="O31" s="16">
        <v>0.06</v>
      </c>
      <c r="P31" s="16"/>
      <c r="Q31" s="16"/>
      <c r="R31" s="16"/>
      <c r="S31" s="15"/>
      <c r="T31" s="15"/>
      <c r="U31" s="15"/>
      <c r="V31" s="12"/>
      <c r="W31" s="13"/>
      <c r="X31" s="13"/>
      <c r="Y31" s="13"/>
      <c r="Z31" s="27">
        <v>0.1641651406067319</v>
      </c>
      <c r="AA31" s="27">
        <v>0.2680279777552691</v>
      </c>
      <c r="AB31" s="27">
        <v>0.38565734365758469</v>
      </c>
      <c r="AC31" s="12">
        <v>13.26</v>
      </c>
      <c r="AD31" s="13">
        <f>Z31*AC31</f>
        <v>2.176829764445265</v>
      </c>
      <c r="AE31" s="13">
        <f t="shared" si="25"/>
        <v>3.554050985034868</v>
      </c>
      <c r="AF31" s="13">
        <f t="shared" si="5"/>
        <v>5.1138163768995728</v>
      </c>
      <c r="AG31" s="27"/>
      <c r="AH31" s="27"/>
      <c r="AI31" s="27"/>
      <c r="AJ31" s="12"/>
      <c r="AK31" s="13"/>
      <c r="AL31" s="13"/>
      <c r="AM31" s="13"/>
      <c r="AN31" s="15"/>
      <c r="AQ31" s="12"/>
      <c r="AR31" s="13"/>
      <c r="AS31" s="13"/>
      <c r="AT31" s="13"/>
      <c r="AU31" s="15"/>
      <c r="AX31" s="12"/>
      <c r="AY31" s="13"/>
      <c r="AZ31" s="13"/>
      <c r="BA31" s="13"/>
      <c r="BB31" s="15"/>
      <c r="BE31" s="12"/>
      <c r="BF31" s="13"/>
      <c r="BG31" s="13"/>
      <c r="BH31" s="13"/>
      <c r="BI31" s="15"/>
      <c r="BJ31" s="15"/>
      <c r="BK31" s="15"/>
      <c r="BL31" s="12"/>
      <c r="BM31" s="13"/>
      <c r="BN31" s="13"/>
      <c r="BO31" s="13"/>
      <c r="BP31" s="15"/>
      <c r="BS31" s="12"/>
      <c r="BT31" s="13"/>
      <c r="BU31" s="13"/>
      <c r="BV31" s="13"/>
      <c r="BW31" s="15"/>
      <c r="BZ31" s="12"/>
      <c r="CA31" s="13"/>
      <c r="CB31" s="13"/>
      <c r="CC31" s="13"/>
      <c r="CD31" s="27">
        <v>0.11633250535234441</v>
      </c>
      <c r="CE31" s="27">
        <v>0.18978553942221921</v>
      </c>
      <c r="CF31" s="27">
        <v>0.2770926571162321</v>
      </c>
      <c r="CG31" s="12">
        <v>211.29</v>
      </c>
      <c r="CH31" s="13">
        <f t="shared" si="6"/>
        <v>24.579895055896849</v>
      </c>
      <c r="CI31" s="13">
        <f t="shared" si="7"/>
        <v>40.099786624520696</v>
      </c>
      <c r="CJ31" s="13">
        <f t="shared" si="8"/>
        <v>58.546907522088681</v>
      </c>
      <c r="CK31" s="27">
        <v>0.33452124597720578</v>
      </c>
      <c r="CL31" s="27">
        <v>0.46959835952789108</v>
      </c>
      <c r="CM31" s="27">
        <v>0.58764059022901427</v>
      </c>
      <c r="CN31" s="12">
        <v>151.08000000000001</v>
      </c>
      <c r="CO31" s="13">
        <f t="shared" si="9"/>
        <v>50.539469842236251</v>
      </c>
      <c r="CP31" s="13">
        <f t="shared" si="10"/>
        <v>70.946920157473798</v>
      </c>
      <c r="CQ31" s="13">
        <f t="shared" si="11"/>
        <v>88.780740371799482</v>
      </c>
      <c r="CR31" s="27">
        <v>0.40707800069285571</v>
      </c>
      <c r="CS31" s="27">
        <v>0.54835164537248005</v>
      </c>
      <c r="CT31" s="27">
        <v>0.66356106468531084</v>
      </c>
      <c r="CU31" s="12">
        <v>50.23</v>
      </c>
      <c r="CV31" s="13">
        <f t="shared" si="12"/>
        <v>20.447527974802142</v>
      </c>
      <c r="CW31" s="13">
        <f t="shared" si="22"/>
        <v>27.54370314705967</v>
      </c>
      <c r="CX31" s="13">
        <f t="shared" si="23"/>
        <v>33.330672279143158</v>
      </c>
      <c r="CY31" s="27">
        <v>0.10166814160564951</v>
      </c>
      <c r="CZ31" s="27">
        <v>0.17541460518250809</v>
      </c>
      <c r="DA31" s="27">
        <v>0.26410033955215972</v>
      </c>
      <c r="DB31" s="12">
        <v>282.33999999999997</v>
      </c>
      <c r="DC31" s="13">
        <f t="shared" si="13"/>
        <v>28.704983100939078</v>
      </c>
      <c r="DD31" s="13">
        <f t="shared" si="14"/>
        <v>49.526559627229332</v>
      </c>
      <c r="DE31" s="13">
        <f t="shared" si="15"/>
        <v>74.56608986915677</v>
      </c>
      <c r="DF31" s="27">
        <v>0.31907275630980497</v>
      </c>
      <c r="DG31" s="27">
        <v>0.44987664991742837</v>
      </c>
      <c r="DH31" s="27">
        <v>0.56842975374803106</v>
      </c>
      <c r="DI31" s="12">
        <v>7.43</v>
      </c>
      <c r="DJ31" s="13">
        <f t="shared" si="16"/>
        <v>2.3707105793818508</v>
      </c>
      <c r="DK31" s="13">
        <f t="shared" si="17"/>
        <v>3.3425835088864928</v>
      </c>
      <c r="DL31" s="13">
        <f t="shared" si="18"/>
        <v>4.2234330703478706</v>
      </c>
      <c r="DM31" s="27">
        <v>4.4545044735984872E-4</v>
      </c>
      <c r="DN31" s="27">
        <v>1.0702473805080701E-2</v>
      </c>
      <c r="DO31" s="27">
        <v>5.06699886138215E-2</v>
      </c>
      <c r="DP31" s="12">
        <v>1.66</v>
      </c>
      <c r="DQ31" s="13">
        <f t="shared" si="24"/>
        <v>7.3944774261734886E-4</v>
      </c>
      <c r="DR31" s="13">
        <f t="shared" si="26"/>
        <v>1.7766106516433962E-2</v>
      </c>
      <c r="DS31" s="13">
        <f t="shared" si="27"/>
        <v>8.4112181098943681E-2</v>
      </c>
      <c r="DW31" s="12"/>
      <c r="DX31" s="13"/>
      <c r="DY31" s="13"/>
      <c r="DZ31" s="13"/>
      <c r="EA31" s="15"/>
      <c r="ED31" s="12"/>
      <c r="EE31" s="13"/>
      <c r="EF31" s="13"/>
      <c r="EG31" s="13"/>
    </row>
    <row r="32" spans="1:137">
      <c r="A32" s="8" t="s">
        <v>32</v>
      </c>
      <c r="B32" s="9">
        <v>-4.3052252053774209</v>
      </c>
      <c r="C32" s="27">
        <v>1.2859445516958509E-3</v>
      </c>
      <c r="D32" s="27">
        <v>9.4179329294023229E-2</v>
      </c>
      <c r="E32" s="27">
        <v>0.33564327068545408</v>
      </c>
      <c r="F32" s="11">
        <v>337.61</v>
      </c>
      <c r="G32" s="23">
        <v>3355.55</v>
      </c>
      <c r="H32" s="13">
        <f t="shared" si="0"/>
        <v>316.02344841255967</v>
      </c>
      <c r="I32" s="13">
        <f t="shared" si="1"/>
        <v>0.43414774009803625</v>
      </c>
      <c r="J32" s="14">
        <f t="shared" si="2"/>
        <v>31.795883362955184</v>
      </c>
      <c r="K32" s="14">
        <f t="shared" si="3"/>
        <v>113.31652461611615</v>
      </c>
      <c r="L32" s="15"/>
      <c r="M32" s="9"/>
      <c r="N32" s="15"/>
      <c r="O32" s="12"/>
      <c r="P32" s="13"/>
      <c r="Q32" s="13"/>
      <c r="R32" s="13"/>
      <c r="S32" s="15"/>
      <c r="T32" s="15"/>
      <c r="U32" s="15"/>
      <c r="V32" s="12"/>
      <c r="W32" s="13"/>
      <c r="X32" s="13"/>
      <c r="Y32" s="13"/>
      <c r="Z32" s="27">
        <v>4.1499732527468858E-2</v>
      </c>
      <c r="AA32" s="27">
        <v>0.1261080433180492</v>
      </c>
      <c r="AB32" s="27">
        <v>0.20012038335335769</v>
      </c>
      <c r="AC32" s="12">
        <v>48.89</v>
      </c>
      <c r="AD32" s="13">
        <f>Z32*AC32</f>
        <v>2.0289219232679523</v>
      </c>
      <c r="AE32" s="13">
        <f t="shared" si="25"/>
        <v>6.1654222378194259</v>
      </c>
      <c r="AF32" s="13">
        <f t="shared" si="5"/>
        <v>9.7838855421456579</v>
      </c>
      <c r="AG32" s="15"/>
      <c r="AH32" s="15"/>
      <c r="AI32" s="15"/>
      <c r="AJ32" s="12"/>
      <c r="AK32" s="13"/>
      <c r="AL32" s="13"/>
      <c r="AM32" s="13"/>
      <c r="AN32" s="15"/>
      <c r="AO32" s="15"/>
      <c r="AP32" s="15"/>
      <c r="AQ32" s="12"/>
      <c r="AR32" s="13"/>
      <c r="AS32" s="13"/>
      <c r="AT32" s="13"/>
      <c r="AU32" s="15"/>
      <c r="AV32" s="15"/>
      <c r="AW32" s="15"/>
      <c r="AX32" s="12"/>
      <c r="AY32" s="13"/>
      <c r="AZ32" s="13"/>
      <c r="BA32" s="13"/>
      <c r="BB32" s="15"/>
      <c r="BE32" s="12"/>
      <c r="BF32" s="13"/>
      <c r="BG32" s="13"/>
      <c r="BH32" s="13"/>
      <c r="BI32" s="15"/>
      <c r="BJ32" s="15"/>
      <c r="BK32" s="15"/>
      <c r="BL32" s="12"/>
      <c r="BM32" s="13"/>
      <c r="BN32" s="13"/>
      <c r="BO32" s="13"/>
      <c r="BP32" s="15"/>
      <c r="BS32" s="12"/>
      <c r="BT32" s="13"/>
      <c r="BU32" s="13"/>
      <c r="BV32" s="13"/>
      <c r="BW32" s="15"/>
      <c r="BZ32" s="12"/>
      <c r="CA32" s="13"/>
      <c r="CB32" s="13"/>
      <c r="CC32" s="13"/>
      <c r="CD32" s="27">
        <v>2.7250740450808081E-2</v>
      </c>
      <c r="CE32" s="27">
        <v>8.53506901693033E-2</v>
      </c>
      <c r="CF32" s="27">
        <v>0.13521421297361491</v>
      </c>
      <c r="CG32" s="12">
        <v>5.0000000000000036</v>
      </c>
      <c r="CH32" s="13">
        <f t="shared" si="6"/>
        <v>0.13625370225404049</v>
      </c>
      <c r="CI32" s="13">
        <f t="shared" si="7"/>
        <v>0.42675345084651678</v>
      </c>
      <c r="CJ32" s="13">
        <f t="shared" si="8"/>
        <v>0.676071064868075</v>
      </c>
      <c r="CK32" s="27">
        <v>9.5275708419891206E-2</v>
      </c>
      <c r="CL32" s="27">
        <v>0.25848407997268519</v>
      </c>
      <c r="CM32" s="27">
        <v>0.36485671531349251</v>
      </c>
      <c r="CN32" s="12">
        <v>27.06</v>
      </c>
      <c r="CO32" s="13">
        <f t="shared" si="9"/>
        <v>2.5781606698422559</v>
      </c>
      <c r="CP32" s="13">
        <f t="shared" si="10"/>
        <v>6.9945792040608605</v>
      </c>
      <c r="CQ32" s="13">
        <f t="shared" si="11"/>
        <v>9.8730227163831064</v>
      </c>
      <c r="CR32" s="27">
        <v>0.12382603654410081</v>
      </c>
      <c r="CS32" s="27">
        <v>0.32588086487417939</v>
      </c>
      <c r="CT32" s="27">
        <v>0.44305904761970022</v>
      </c>
      <c r="CU32" s="12">
        <v>33.61</v>
      </c>
      <c r="CV32" s="13">
        <f t="shared" si="12"/>
        <v>4.1617930882472276</v>
      </c>
      <c r="CW32" s="13">
        <f t="shared" si="22"/>
        <v>10.952855868421169</v>
      </c>
      <c r="CX32" s="13">
        <f t="shared" si="23"/>
        <v>14.891214590498125</v>
      </c>
      <c r="CY32" s="27">
        <v>2.370854958725653E-2</v>
      </c>
      <c r="CZ32" s="27">
        <v>7.734861116460845E-2</v>
      </c>
      <c r="DA32" s="27">
        <v>0.12639812440705531</v>
      </c>
      <c r="DB32" s="12">
        <v>191.36</v>
      </c>
      <c r="DC32" s="13">
        <f t="shared" si="13"/>
        <v>4.5368680490174098</v>
      </c>
      <c r="DD32" s="13">
        <f t="shared" si="14"/>
        <v>14.801430232459474</v>
      </c>
      <c r="DE32" s="13">
        <f t="shared" si="15"/>
        <v>24.187545086534104</v>
      </c>
      <c r="DF32" s="27">
        <v>9.3146219207534964E-2</v>
      </c>
      <c r="DG32" s="27">
        <v>0.24497383958916641</v>
      </c>
      <c r="DH32" s="27">
        <v>0.34549636784002907</v>
      </c>
      <c r="DI32" s="12">
        <v>19</v>
      </c>
      <c r="DJ32" s="13">
        <f t="shared" si="16"/>
        <v>1.7697781649431643</v>
      </c>
      <c r="DK32" s="13">
        <f t="shared" si="17"/>
        <v>4.6545029521941617</v>
      </c>
      <c r="DL32" s="13">
        <f t="shared" si="18"/>
        <v>6.5644309889605523</v>
      </c>
      <c r="DM32" s="27">
        <v>1.4838167469237481E-4</v>
      </c>
      <c r="DN32" s="27">
        <v>3.9976378027426944E-3</v>
      </c>
      <c r="DO32" s="27">
        <v>2.0256305904201889E-2</v>
      </c>
      <c r="DP32" s="12">
        <v>12.69</v>
      </c>
      <c r="DQ32" s="13">
        <f t="shared" si="24"/>
        <v>1.8829634518462363E-3</v>
      </c>
      <c r="DR32" s="13">
        <f t="shared" si="26"/>
        <v>5.0730023716804788E-2</v>
      </c>
      <c r="DS32" s="13">
        <f t="shared" si="27"/>
        <v>0.25705252192432199</v>
      </c>
      <c r="DW32" s="12"/>
      <c r="DX32" s="13"/>
      <c r="DY32" s="13"/>
      <c r="DZ32" s="13"/>
      <c r="EA32" s="15"/>
      <c r="ED32" s="12"/>
      <c r="EE32" s="13"/>
      <c r="EF32" s="13"/>
      <c r="EG32" s="13"/>
    </row>
    <row r="33" spans="1:137">
      <c r="A33" s="18" t="s">
        <v>33</v>
      </c>
      <c r="B33" s="9">
        <v>0.26802381149155668</v>
      </c>
      <c r="C33" s="27">
        <v>6.2950639575565376E-2</v>
      </c>
      <c r="D33" s="27">
        <v>0.2385179110963534</v>
      </c>
      <c r="E33" s="27">
        <v>0.40664785776403239</v>
      </c>
      <c r="F33" s="11">
        <v>689.66642036124802</v>
      </c>
      <c r="G33" s="12">
        <v>689.6664203612479</v>
      </c>
      <c r="H33" s="13">
        <f t="shared" si="0"/>
        <v>164.49779393786443</v>
      </c>
      <c r="I33" s="13">
        <f t="shared" si="1"/>
        <v>43.414942255531287</v>
      </c>
      <c r="J33" s="14">
        <f t="shared" si="2"/>
        <v>164.49779393786446</v>
      </c>
      <c r="K33" s="14">
        <f t="shared" si="3"/>
        <v>280.45137241169016</v>
      </c>
      <c r="L33" s="15"/>
      <c r="M33" s="9"/>
      <c r="N33" s="15"/>
      <c r="O33" s="12"/>
      <c r="P33" s="13"/>
      <c r="Q33" s="13"/>
      <c r="R33" s="13"/>
      <c r="S33" s="15"/>
      <c r="T33" s="15"/>
      <c r="U33" s="15"/>
      <c r="V33" s="12"/>
      <c r="W33" s="13"/>
      <c r="X33" s="13"/>
      <c r="Y33" s="13"/>
      <c r="Z33" s="15"/>
      <c r="AC33" s="12"/>
      <c r="AD33" s="13"/>
      <c r="AE33" s="13"/>
      <c r="AF33" s="13"/>
      <c r="AG33" s="15"/>
      <c r="AH33" s="15"/>
      <c r="AI33" s="15"/>
      <c r="AJ33" s="12"/>
      <c r="AK33" s="13"/>
      <c r="AL33" s="13"/>
      <c r="AM33" s="13"/>
      <c r="AN33" s="15"/>
      <c r="AO33" s="15"/>
      <c r="AP33" s="15"/>
      <c r="AQ33" s="12"/>
      <c r="AR33" s="13"/>
      <c r="AS33" s="13"/>
      <c r="AT33" s="13"/>
      <c r="AU33" s="15"/>
      <c r="AV33" s="15"/>
      <c r="AW33" s="15"/>
      <c r="AX33" s="12"/>
      <c r="AY33" s="13"/>
      <c r="AZ33" s="13"/>
      <c r="BA33" s="13"/>
      <c r="BB33" s="15"/>
      <c r="BC33" s="15"/>
      <c r="BD33" s="15"/>
      <c r="BE33" s="12"/>
      <c r="BF33" s="13"/>
      <c r="BG33" s="13"/>
      <c r="BH33" s="13"/>
      <c r="BI33" s="15"/>
      <c r="BJ33" s="15"/>
      <c r="BK33" s="15"/>
      <c r="BL33" s="12"/>
      <c r="BM33" s="13"/>
      <c r="BN33" s="13"/>
      <c r="BO33" s="13"/>
      <c r="BP33" s="27">
        <v>0.1641928629637133</v>
      </c>
      <c r="BQ33" s="27">
        <v>0.30010262428679202</v>
      </c>
      <c r="BR33" s="27">
        <v>0.4176513311925793</v>
      </c>
      <c r="BS33" s="12">
        <v>149.68932676518881</v>
      </c>
      <c r="BT33" s="13">
        <f t="shared" si="29"/>
        <v>24.577919116687148</v>
      </c>
      <c r="BU33" s="13">
        <f t="shared" si="34"/>
        <v>44.922159789956297</v>
      </c>
      <c r="BV33" s="13">
        <f t="shared" si="35"/>
        <v>62.517946588802097</v>
      </c>
      <c r="BW33" s="15"/>
      <c r="BX33" s="15"/>
      <c r="BY33" s="15"/>
      <c r="BZ33" s="12"/>
      <c r="CA33" s="13"/>
      <c r="CB33" s="13"/>
      <c r="CC33" s="13"/>
      <c r="CD33" s="27">
        <v>5.0961762060147957E-2</v>
      </c>
      <c r="CE33" s="27">
        <v>0.101339576602166</v>
      </c>
      <c r="CF33" s="27">
        <v>0.1573092490410411</v>
      </c>
      <c r="CG33" s="12">
        <v>68.312643678160924</v>
      </c>
      <c r="CH33" s="13">
        <f t="shared" si="6"/>
        <v>3.4813326928261077</v>
      </c>
      <c r="CI33" s="13">
        <f t="shared" si="7"/>
        <v>6.9227743869194596</v>
      </c>
      <c r="CJ33" s="13">
        <f t="shared" si="8"/>
        <v>10.746210677019718</v>
      </c>
      <c r="CK33" s="27">
        <v>0.16647796251858099</v>
      </c>
      <c r="CL33" s="27">
        <v>0.29783781129159159</v>
      </c>
      <c r="CM33" s="27">
        <v>0.4034826964392535</v>
      </c>
      <c r="CN33" s="12">
        <v>129.11001642036129</v>
      </c>
      <c r="CO33" s="13">
        <f t="shared" si="9"/>
        <v>21.493972474402284</v>
      </c>
      <c r="CP33" s="13">
        <f t="shared" si="10"/>
        <v>38.453844706461858</v>
      </c>
      <c r="CQ33" s="13">
        <f t="shared" si="11"/>
        <v>52.093657562603667</v>
      </c>
      <c r="CR33" s="27">
        <v>0.21673833822809291</v>
      </c>
      <c r="CS33" s="27">
        <v>0.36777304817291329</v>
      </c>
      <c r="CT33" s="27">
        <v>0.48398060423876071</v>
      </c>
      <c r="CU33" s="12">
        <v>0.99425287356321812</v>
      </c>
      <c r="CV33" s="13">
        <f t="shared" si="12"/>
        <v>0.21549271559459807</v>
      </c>
      <c r="CW33" s="13">
        <f t="shared" si="22"/>
        <v>0.36565940996502289</v>
      </c>
      <c r="CX33" s="13">
        <f t="shared" si="23"/>
        <v>0.48119910651325049</v>
      </c>
      <c r="CY33" s="15"/>
      <c r="DB33" s="12"/>
      <c r="DC33" s="13"/>
      <c r="DD33" s="13"/>
      <c r="DE33" s="13"/>
      <c r="DF33" s="27">
        <v>0.15736702988431309</v>
      </c>
      <c r="DG33" s="27">
        <v>0.28304587461622011</v>
      </c>
      <c r="DH33" s="27">
        <v>0.38918485663457297</v>
      </c>
      <c r="DI33" s="12">
        <v>236.65279146141211</v>
      </c>
      <c r="DJ33" s="13">
        <f t="shared" si="16"/>
        <v>37.241346906114153</v>
      </c>
      <c r="DK33" s="13">
        <f t="shared" si="17"/>
        <v>66.983596339565338</v>
      </c>
      <c r="DL33" s="13">
        <f t="shared" si="18"/>
        <v>92.101682717081161</v>
      </c>
      <c r="DM33" s="15"/>
      <c r="DP33" s="12"/>
      <c r="DQ33" s="13"/>
      <c r="DR33" s="13"/>
      <c r="DS33" s="13"/>
      <c r="DW33" s="12"/>
      <c r="DX33" s="13"/>
      <c r="DY33" s="13"/>
      <c r="DZ33" s="13"/>
      <c r="EA33" s="27">
        <v>5.2483738045601143E-2</v>
      </c>
      <c r="EB33" s="27">
        <v>0.1050748901064523</v>
      </c>
      <c r="EC33" s="27">
        <v>0.16794713540558201</v>
      </c>
      <c r="ED33" s="12">
        <v>88.702627257799662</v>
      </c>
      <c r="EE33" s="13">
        <f t="shared" si="19"/>
        <v>4.6554454529549574</v>
      </c>
      <c r="EF33" s="13">
        <f t="shared" si="20"/>
        <v>9.3204188112668991</v>
      </c>
      <c r="EG33" s="13">
        <f t="shared" si="21"/>
        <v>14.89735215089655</v>
      </c>
    </row>
    <row r="34" spans="1:137">
      <c r="A34" s="8" t="s">
        <v>34</v>
      </c>
      <c r="B34" s="9">
        <v>1.2379457498064199</v>
      </c>
      <c r="C34" s="27">
        <v>9.5685198516319027E-4</v>
      </c>
      <c r="D34" s="27">
        <v>8.0825486454361217E-2</v>
      </c>
      <c r="E34" s="27">
        <v>0.29790133643876932</v>
      </c>
      <c r="F34" s="11">
        <v>211.78999999999996</v>
      </c>
      <c r="G34" s="12">
        <v>232.89999999999998</v>
      </c>
      <c r="H34" s="13">
        <f t="shared" si="0"/>
        <v>18.824255795220726</v>
      </c>
      <c r="I34" s="13">
        <f t="shared" si="1"/>
        <v>0.20265168193771205</v>
      </c>
      <c r="J34" s="14">
        <f t="shared" si="2"/>
        <v>17.118029776169159</v>
      </c>
      <c r="K34" s="14">
        <f t="shared" si="3"/>
        <v>63.09252404436694</v>
      </c>
      <c r="L34" s="15"/>
      <c r="M34" s="9"/>
      <c r="N34" s="15"/>
      <c r="O34" s="12"/>
      <c r="P34" s="13"/>
      <c r="Q34" s="13"/>
      <c r="R34" s="13"/>
      <c r="S34" s="15"/>
      <c r="T34" s="15"/>
      <c r="U34" s="15"/>
      <c r="V34" s="12"/>
      <c r="W34" s="13"/>
      <c r="X34" s="13"/>
      <c r="Y34" s="13"/>
      <c r="Z34" s="27">
        <v>4.076944296375544E-2</v>
      </c>
      <c r="AA34" s="27">
        <v>0.10737853121913821</v>
      </c>
      <c r="AB34" s="27">
        <v>0.18651042006373891</v>
      </c>
      <c r="AC34" s="12">
        <v>102.52</v>
      </c>
      <c r="AD34" s="13">
        <f>Z34*AC34</f>
        <v>4.1796832926442073</v>
      </c>
      <c r="AE34" s="13">
        <f t="shared" si="25"/>
        <v>11.008447020586049</v>
      </c>
      <c r="AF34" s="13">
        <f t="shared" si="5"/>
        <v>19.121048264934512</v>
      </c>
      <c r="AG34" s="15"/>
      <c r="AH34" s="15"/>
      <c r="AI34" s="15"/>
      <c r="AJ34" s="12"/>
      <c r="AK34" s="13"/>
      <c r="AL34" s="13"/>
      <c r="AM34" s="13"/>
      <c r="AN34" s="16"/>
      <c r="AO34" s="16"/>
      <c r="AP34" s="16"/>
      <c r="AQ34" s="16">
        <v>21.11</v>
      </c>
      <c r="AR34" s="16"/>
      <c r="AS34" s="16"/>
      <c r="AT34" s="16"/>
      <c r="AU34" s="15"/>
      <c r="AV34" s="15"/>
      <c r="AW34" s="15"/>
      <c r="AX34" s="12"/>
      <c r="AY34" s="13"/>
      <c r="AZ34" s="13"/>
      <c r="BA34" s="13"/>
      <c r="BB34" s="15"/>
      <c r="BC34" s="15"/>
      <c r="BD34" s="15"/>
      <c r="BE34" s="12"/>
      <c r="BF34" s="13"/>
      <c r="BG34" s="13"/>
      <c r="BH34" s="13"/>
      <c r="BI34" s="15"/>
      <c r="BJ34" s="15"/>
      <c r="BK34" s="15"/>
      <c r="BL34" s="12"/>
      <c r="BM34" s="13"/>
      <c r="BN34" s="13"/>
      <c r="BO34" s="13"/>
      <c r="BP34" s="15"/>
      <c r="BS34" s="12"/>
      <c r="BT34" s="13"/>
      <c r="BU34" s="13"/>
      <c r="BV34" s="13"/>
      <c r="BW34" s="15"/>
      <c r="BX34" s="15"/>
      <c r="BY34" s="15"/>
      <c r="BZ34" s="12"/>
      <c r="CA34" s="13"/>
      <c r="CB34" s="13"/>
      <c r="CC34" s="13"/>
      <c r="CD34" s="27">
        <v>2.7298196853586511E-2</v>
      </c>
      <c r="CE34" s="27">
        <v>7.1543029448124018E-2</v>
      </c>
      <c r="CF34" s="27">
        <v>0.12549154011466829</v>
      </c>
      <c r="CG34" s="12">
        <v>9.4399999999999977</v>
      </c>
      <c r="CH34" s="13">
        <f t="shared" si="6"/>
        <v>0.25769497829785659</v>
      </c>
      <c r="CI34" s="13">
        <f t="shared" si="7"/>
        <v>0.67536619799029052</v>
      </c>
      <c r="CJ34" s="13">
        <f t="shared" si="8"/>
        <v>1.1846401386824683</v>
      </c>
      <c r="CK34" s="27">
        <v>9.6066601518770056E-2</v>
      </c>
      <c r="CL34" s="27">
        <v>0.22389576328233279</v>
      </c>
      <c r="CM34" s="27">
        <v>0.34271440788297441</v>
      </c>
      <c r="CN34" s="12">
        <v>75.3</v>
      </c>
      <c r="CO34" s="13">
        <f t="shared" si="9"/>
        <v>7.2338150943633845</v>
      </c>
      <c r="CP34" s="13">
        <f t="shared" si="10"/>
        <v>16.859350975159657</v>
      </c>
      <c r="CQ34" s="13">
        <f t="shared" si="11"/>
        <v>25.806394913587972</v>
      </c>
      <c r="CR34" s="15"/>
      <c r="CU34" s="12"/>
      <c r="CV34" s="13"/>
      <c r="CW34" s="13"/>
      <c r="CX34" s="13"/>
      <c r="CY34" s="27">
        <v>2.390236988457629E-2</v>
      </c>
      <c r="CZ34" s="27">
        <v>6.5464281057762697E-2</v>
      </c>
      <c r="DA34" s="27">
        <v>0.116084078004783</v>
      </c>
      <c r="DB34" s="12">
        <v>18.22</v>
      </c>
      <c r="DC34" s="13">
        <f t="shared" si="13"/>
        <v>0.43550117929697996</v>
      </c>
      <c r="DD34" s="13">
        <f t="shared" si="14"/>
        <v>1.1927592008724364</v>
      </c>
      <c r="DE34" s="13">
        <f t="shared" si="15"/>
        <v>2.115051901247146</v>
      </c>
      <c r="DF34" s="27">
        <v>8.780886992932474E-2</v>
      </c>
      <c r="DG34" s="27">
        <v>0.21351481566535341</v>
      </c>
      <c r="DH34" s="27">
        <v>0.32312236434242558</v>
      </c>
      <c r="DI34" s="12">
        <v>4.9800000000000004</v>
      </c>
      <c r="DJ34" s="13">
        <f t="shared" si="16"/>
        <v>0.43728817224803723</v>
      </c>
      <c r="DK34" s="13">
        <f t="shared" si="17"/>
        <v>1.0633037820134601</v>
      </c>
      <c r="DL34" s="13">
        <f t="shared" si="18"/>
        <v>1.6091493744252796</v>
      </c>
      <c r="DM34" s="27">
        <v>1.4313537481659759E-4</v>
      </c>
      <c r="DN34" s="27">
        <v>3.3273510857553439E-3</v>
      </c>
      <c r="DO34" s="27">
        <v>1.890391337529173E-2</v>
      </c>
      <c r="DP34" s="12">
        <v>0.7</v>
      </c>
      <c r="DQ34" s="13">
        <f t="shared" si="24"/>
        <v>1.0019476237161831E-4</v>
      </c>
      <c r="DR34" s="13">
        <f t="shared" si="26"/>
        <v>2.3291457600287404E-3</v>
      </c>
      <c r="DS34" s="13">
        <f t="shared" si="27"/>
        <v>1.3232739362704211E-2</v>
      </c>
      <c r="DW34" s="12"/>
      <c r="DX34" s="13"/>
      <c r="DY34" s="13"/>
      <c r="DZ34" s="13"/>
      <c r="EA34" s="27">
        <v>2.6724850791354959E-2</v>
      </c>
      <c r="EB34" s="27">
        <v>7.3984202133569002E-2</v>
      </c>
      <c r="EC34" s="27">
        <v>0.13507499109348561</v>
      </c>
      <c r="ED34" s="12">
        <v>0.63</v>
      </c>
      <c r="EE34" s="13">
        <f t="shared" si="19"/>
        <v>1.6836655998553624E-2</v>
      </c>
      <c r="EF34" s="13">
        <f t="shared" si="20"/>
        <v>4.6610047344148468E-2</v>
      </c>
      <c r="EG34" s="13">
        <f t="shared" si="21"/>
        <v>8.5097244388895932E-2</v>
      </c>
    </row>
    <row r="35" spans="1:137">
      <c r="A35" s="8" t="s">
        <v>35</v>
      </c>
      <c r="B35" s="9">
        <v>1.4402047801391</v>
      </c>
      <c r="C35" s="27">
        <v>1.716138374127831E-3</v>
      </c>
      <c r="D35" s="27">
        <v>0.1108405600074273</v>
      </c>
      <c r="E35" s="27">
        <v>0.35507650551463349</v>
      </c>
      <c r="F35" s="11">
        <v>362.13000000000005</v>
      </c>
      <c r="G35" s="12">
        <v>376.08</v>
      </c>
      <c r="H35" s="13">
        <f t="shared" si="0"/>
        <v>41.684917807593258</v>
      </c>
      <c r="I35" s="13">
        <f t="shared" si="1"/>
        <v>0.62146518942291151</v>
      </c>
      <c r="J35" s="14">
        <f t="shared" si="2"/>
        <v>40.138691995489651</v>
      </c>
      <c r="K35" s="14">
        <f t="shared" si="3"/>
        <v>128.58385494201426</v>
      </c>
      <c r="L35" s="16"/>
      <c r="M35" s="26"/>
      <c r="N35" s="16"/>
      <c r="O35" s="16">
        <v>0.26</v>
      </c>
      <c r="P35" s="16"/>
      <c r="Q35" s="16"/>
      <c r="R35" s="16"/>
      <c r="S35" s="15"/>
      <c r="T35" s="15"/>
      <c r="U35" s="15"/>
      <c r="V35" s="12"/>
      <c r="W35" s="13"/>
      <c r="X35" s="13"/>
      <c r="Y35" s="13"/>
      <c r="Z35" s="27">
        <v>7.8374321262947383E-2</v>
      </c>
      <c r="AA35" s="27">
        <v>0.1456007604007454</v>
      </c>
      <c r="AB35" s="27">
        <v>0.22780644025154601</v>
      </c>
      <c r="AC35" s="12">
        <v>14.91</v>
      </c>
      <c r="AD35" s="13">
        <f>Z35*AC35</f>
        <v>1.1685611300305454</v>
      </c>
      <c r="AE35" s="13">
        <f t="shared" si="25"/>
        <v>2.1709073375751142</v>
      </c>
      <c r="AF35" s="13">
        <f t="shared" si="5"/>
        <v>3.3965940241505508</v>
      </c>
      <c r="AG35" s="15"/>
      <c r="AH35" s="15"/>
      <c r="AI35" s="15"/>
      <c r="AJ35" s="12"/>
      <c r="AK35" s="13"/>
      <c r="AL35" s="13"/>
      <c r="AM35" s="13"/>
      <c r="AN35" s="15"/>
      <c r="AO35" s="15"/>
      <c r="AP35" s="15"/>
      <c r="AQ35" s="12"/>
      <c r="AR35" s="13"/>
      <c r="AS35" s="13"/>
      <c r="AT35" s="13"/>
      <c r="AU35" s="15"/>
      <c r="AV35" s="15"/>
      <c r="AW35" s="15"/>
      <c r="AX35" s="12"/>
      <c r="AY35" s="13"/>
      <c r="AZ35" s="13"/>
      <c r="BA35" s="13"/>
      <c r="BB35" s="15"/>
      <c r="BC35" s="15"/>
      <c r="BD35" s="15"/>
      <c r="BE35" s="12"/>
      <c r="BF35" s="13"/>
      <c r="BG35" s="13"/>
      <c r="BH35" s="13"/>
      <c r="BI35" s="15"/>
      <c r="BJ35" s="15"/>
      <c r="BK35" s="15"/>
      <c r="BL35" s="12"/>
      <c r="BM35" s="13"/>
      <c r="BN35" s="13"/>
      <c r="BO35" s="13"/>
      <c r="BP35" s="15"/>
      <c r="BQ35" s="15"/>
      <c r="BR35" s="15"/>
      <c r="BS35" s="12"/>
      <c r="BT35" s="13"/>
      <c r="BU35" s="13"/>
      <c r="BV35" s="13"/>
      <c r="BW35" s="15"/>
      <c r="BX35" s="15"/>
      <c r="BY35" s="15"/>
      <c r="BZ35" s="12"/>
      <c r="CA35" s="13"/>
      <c r="CB35" s="13"/>
      <c r="CC35" s="13"/>
      <c r="CD35" s="27">
        <v>5.1762385255310267E-2</v>
      </c>
      <c r="CE35" s="27">
        <v>9.8581655567160337E-2</v>
      </c>
      <c r="CF35" s="27">
        <v>0.15301634336865949</v>
      </c>
      <c r="CG35" s="12">
        <v>29.799999999999983</v>
      </c>
      <c r="CH35" s="13">
        <f t="shared" si="6"/>
        <v>1.5425190806082452</v>
      </c>
      <c r="CI35" s="13">
        <f t="shared" si="7"/>
        <v>2.9377333359013762</v>
      </c>
      <c r="CJ35" s="13">
        <f t="shared" si="8"/>
        <v>4.5598870323860501</v>
      </c>
      <c r="CK35" s="27">
        <v>0.17107591020473201</v>
      </c>
      <c r="CL35" s="27">
        <v>0.29384659226790338</v>
      </c>
      <c r="CM35" s="27">
        <v>0.39530027885535679</v>
      </c>
      <c r="CN35" s="12">
        <v>199.8</v>
      </c>
      <c r="CO35" s="13">
        <f t="shared" si="9"/>
        <v>34.180966858905457</v>
      </c>
      <c r="CP35" s="13">
        <f t="shared" si="10"/>
        <v>58.710549135127103</v>
      </c>
      <c r="CQ35" s="13">
        <f t="shared" si="11"/>
        <v>78.980995715300296</v>
      </c>
      <c r="CR35" s="15"/>
      <c r="CU35" s="12"/>
      <c r="CV35" s="13"/>
      <c r="CW35" s="13"/>
      <c r="CX35" s="13"/>
      <c r="CY35" s="27">
        <v>4.5712891654365158E-2</v>
      </c>
      <c r="CZ35" s="27">
        <v>8.9646996099765536E-2</v>
      </c>
      <c r="DA35" s="27">
        <v>0.14526882377920541</v>
      </c>
      <c r="DB35" s="12">
        <v>113.11</v>
      </c>
      <c r="DC35" s="13">
        <f t="shared" si="13"/>
        <v>5.1705851750252432</v>
      </c>
      <c r="DD35" s="13">
        <f t="shared" si="14"/>
        <v>10.139971728844479</v>
      </c>
      <c r="DE35" s="13">
        <f t="shared" si="15"/>
        <v>16.431356657665923</v>
      </c>
      <c r="DF35" s="27">
        <v>0.1633116618105615</v>
      </c>
      <c r="DG35" s="27">
        <v>0.27785821159596052</v>
      </c>
      <c r="DH35" s="27">
        <v>0.38659339218063909</v>
      </c>
      <c r="DI35" s="12">
        <v>1.54</v>
      </c>
      <c r="DJ35" s="13">
        <f t="shared" si="16"/>
        <v>0.25149995918826473</v>
      </c>
      <c r="DK35" s="13">
        <f t="shared" si="17"/>
        <v>0.42790164585777923</v>
      </c>
      <c r="DL35" s="13">
        <f t="shared" si="18"/>
        <v>0.59535382395818426</v>
      </c>
      <c r="DM35" s="27">
        <v>1.9143556314847211E-4</v>
      </c>
      <c r="DN35" s="27">
        <v>4.9746880170892863E-3</v>
      </c>
      <c r="DO35" s="27">
        <v>2.5282360664284031E-2</v>
      </c>
      <c r="DP35" s="12">
        <v>2.97</v>
      </c>
      <c r="DQ35" s="13">
        <f t="shared" si="24"/>
        <v>5.6856362255096218E-4</v>
      </c>
      <c r="DR35" s="13">
        <f t="shared" si="26"/>
        <v>1.4774823410755181E-2</v>
      </c>
      <c r="DS35" s="13">
        <f t="shared" si="27"/>
        <v>7.5088611172923578E-2</v>
      </c>
      <c r="DW35" s="12"/>
      <c r="DX35" s="13"/>
      <c r="DY35" s="13"/>
      <c r="DZ35" s="13"/>
      <c r="EA35" s="16"/>
      <c r="EB35" s="17"/>
      <c r="EC35" s="17"/>
      <c r="ED35" s="16">
        <v>10.43</v>
      </c>
      <c r="EE35" s="16"/>
      <c r="EF35" s="16"/>
      <c r="EG35" s="16"/>
    </row>
    <row r="36" spans="1:137">
      <c r="A36" s="8" t="s">
        <v>36</v>
      </c>
      <c r="B36" s="9">
        <v>-4.2273942810590226</v>
      </c>
      <c r="C36" s="27">
        <v>1.285250059570336E-3</v>
      </c>
      <c r="D36" s="27">
        <v>9.1797851964621202E-3</v>
      </c>
      <c r="E36" s="27">
        <v>5.7921425749314893E-2</v>
      </c>
      <c r="F36" s="11">
        <v>4109.55</v>
      </c>
      <c r="G36" s="12">
        <v>4507.7</v>
      </c>
      <c r="H36" s="13">
        <f t="shared" si="0"/>
        <v>41.379717730092295</v>
      </c>
      <c r="I36" s="13">
        <f t="shared" si="1"/>
        <v>5.2817993823072742</v>
      </c>
      <c r="J36" s="14">
        <f t="shared" si="2"/>
        <v>37.724786254120907</v>
      </c>
      <c r="K36" s="14">
        <f t="shared" si="3"/>
        <v>238.03099518809702</v>
      </c>
      <c r="L36" s="15"/>
      <c r="M36" s="9"/>
      <c r="N36" s="15"/>
      <c r="O36" s="12"/>
      <c r="P36" s="13"/>
      <c r="Q36" s="13"/>
      <c r="R36" s="13"/>
      <c r="S36" s="15"/>
      <c r="T36" s="15"/>
      <c r="U36" s="15"/>
      <c r="V36" s="12"/>
      <c r="W36" s="13"/>
      <c r="X36" s="13"/>
      <c r="Y36" s="13"/>
      <c r="Z36" s="27">
        <v>1.7225113078948549E-3</v>
      </c>
      <c r="AA36" s="27">
        <v>1.0375416292944251E-2</v>
      </c>
      <c r="AB36" s="27">
        <v>3.5710867607544487E-2</v>
      </c>
      <c r="AC36" s="12">
        <v>2.2999999999999998</v>
      </c>
      <c r="AD36" s="13">
        <f>Z36*AC36</f>
        <v>3.9617760081581662E-3</v>
      </c>
      <c r="AE36" s="13">
        <f t="shared" si="25"/>
        <v>2.3863457473771773E-2</v>
      </c>
      <c r="AF36" s="13">
        <f t="shared" si="5"/>
        <v>8.2134995497352314E-2</v>
      </c>
      <c r="AG36" s="15"/>
      <c r="AI36" s="15"/>
      <c r="AJ36" s="12"/>
      <c r="AK36" s="13"/>
      <c r="AL36" s="13"/>
      <c r="AM36" s="13"/>
      <c r="AN36" s="15"/>
      <c r="AO36" s="15"/>
      <c r="AP36" s="15"/>
      <c r="AQ36" s="12"/>
      <c r="AR36" s="13"/>
      <c r="AS36" s="13"/>
      <c r="AT36" s="13"/>
      <c r="AU36" s="15"/>
      <c r="AV36" s="15"/>
      <c r="AW36" s="15"/>
      <c r="AX36" s="12"/>
      <c r="AY36" s="13"/>
      <c r="AZ36" s="13"/>
      <c r="BA36" s="13"/>
      <c r="BB36" s="15"/>
      <c r="BC36" s="15"/>
      <c r="BD36" s="15"/>
      <c r="BE36" s="12"/>
      <c r="BF36" s="13"/>
      <c r="BG36" s="13"/>
      <c r="BH36" s="13"/>
      <c r="BI36" s="15"/>
      <c r="BJ36" s="15"/>
      <c r="BK36" s="15"/>
      <c r="BL36" s="12"/>
      <c r="BM36" s="13"/>
      <c r="BN36" s="13"/>
      <c r="BO36" s="13"/>
      <c r="BP36" s="15"/>
      <c r="BQ36" s="15"/>
      <c r="BR36" s="15"/>
      <c r="BS36" s="12"/>
      <c r="BT36" s="13"/>
      <c r="BU36" s="13"/>
      <c r="BV36" s="13"/>
      <c r="BW36" s="15"/>
      <c r="BX36" s="15"/>
      <c r="BY36" s="15"/>
      <c r="BZ36" s="12"/>
      <c r="CA36" s="13"/>
      <c r="CB36" s="13"/>
      <c r="CC36" s="13"/>
      <c r="CD36" s="27">
        <v>1.0864030814719281E-3</v>
      </c>
      <c r="CE36" s="27">
        <v>6.6807419348265777E-3</v>
      </c>
      <c r="CF36" s="27">
        <v>2.252903286885637E-2</v>
      </c>
      <c r="CG36" s="12">
        <v>1179.42</v>
      </c>
      <c r="CH36" s="13">
        <f t="shared" si="6"/>
        <v>1.2813255223496214</v>
      </c>
      <c r="CI36" s="13">
        <f t="shared" si="7"/>
        <v>7.879400652773163</v>
      </c>
      <c r="CJ36" s="13">
        <f t="shared" si="8"/>
        <v>26.57119194618658</v>
      </c>
      <c r="CK36" s="27">
        <v>4.1424588673435033E-3</v>
      </c>
      <c r="CL36" s="27">
        <v>2.4474128497805839E-2</v>
      </c>
      <c r="CM36" s="27">
        <v>7.8650064551313181E-2</v>
      </c>
      <c r="CN36" s="12">
        <v>252.78</v>
      </c>
      <c r="CO36" s="13">
        <f t="shared" si="9"/>
        <v>1.0471307524870908</v>
      </c>
      <c r="CP36" s="13">
        <f t="shared" si="10"/>
        <v>6.1865702016753605</v>
      </c>
      <c r="CQ36" s="13">
        <f t="shared" si="11"/>
        <v>19.881163317280947</v>
      </c>
      <c r="CR36" s="15"/>
      <c r="CU36" s="12"/>
      <c r="CV36" s="13"/>
      <c r="CW36" s="13"/>
      <c r="CX36" s="13"/>
      <c r="CY36" s="27">
        <v>9.8778378470482033E-4</v>
      </c>
      <c r="CZ36" s="27">
        <v>5.994340790762661E-3</v>
      </c>
      <c r="DA36" s="27">
        <v>2.05648977780667E-2</v>
      </c>
      <c r="DB36" s="12">
        <v>2629.05</v>
      </c>
      <c r="DC36" s="13">
        <f t="shared" si="13"/>
        <v>2.5969329591782082</v>
      </c>
      <c r="DD36" s="13">
        <f t="shared" si="14"/>
        <v>15.759421655954576</v>
      </c>
      <c r="DE36" s="13">
        <f t="shared" si="15"/>
        <v>54.066144503426258</v>
      </c>
      <c r="DF36" s="27">
        <v>3.9497667948537674E-3</v>
      </c>
      <c r="DG36" s="27">
        <v>2.2760789837157479E-2</v>
      </c>
      <c r="DH36" s="27">
        <v>7.3721485206104401E-2</v>
      </c>
      <c r="DI36" s="12">
        <v>46</v>
      </c>
      <c r="DJ36" s="13">
        <f t="shared" si="16"/>
        <v>0.1816892725632733</v>
      </c>
      <c r="DK36" s="13">
        <f t="shared" si="17"/>
        <v>1.046996332509244</v>
      </c>
      <c r="DL36" s="13">
        <f t="shared" si="18"/>
        <v>3.3911883194808023</v>
      </c>
      <c r="DM36" s="15"/>
      <c r="DP36" s="12"/>
      <c r="DQ36" s="13"/>
      <c r="DR36" s="13"/>
      <c r="DS36" s="13"/>
      <c r="DW36" s="12"/>
      <c r="DX36" s="13"/>
      <c r="DY36" s="13"/>
      <c r="DZ36" s="13"/>
      <c r="EA36" s="15"/>
      <c r="ED36" s="12"/>
      <c r="EE36" s="13"/>
      <c r="EF36" s="13"/>
      <c r="EG36" s="13"/>
    </row>
    <row r="37" spans="1:137">
      <c r="A37" s="8" t="s">
        <v>37</v>
      </c>
      <c r="B37" s="9">
        <v>2.2011405449137409</v>
      </c>
      <c r="C37" s="27">
        <v>0.10524559067286419</v>
      </c>
      <c r="D37" s="27">
        <v>0.28227862083540889</v>
      </c>
      <c r="E37" s="27">
        <v>0.7444566900487144</v>
      </c>
      <c r="F37" s="11">
        <v>995.34</v>
      </c>
      <c r="G37" s="12">
        <v>1165.97</v>
      </c>
      <c r="H37" s="13">
        <f t="shared" si="0"/>
        <v>329.1284035354617</v>
      </c>
      <c r="I37" s="13">
        <f t="shared" si="1"/>
        <v>104.75514622032865</v>
      </c>
      <c r="J37" s="14">
        <f t="shared" si="2"/>
        <v>280.96320246231591</v>
      </c>
      <c r="K37" s="14">
        <f t="shared" si="3"/>
        <v>740.98752187308742</v>
      </c>
      <c r="L37" s="15"/>
      <c r="M37" s="9"/>
      <c r="N37" s="15"/>
      <c r="O37" s="12"/>
      <c r="P37" s="13"/>
      <c r="Q37" s="13"/>
      <c r="R37" s="13"/>
      <c r="S37" s="15"/>
      <c r="T37" s="15"/>
      <c r="U37" s="15"/>
      <c r="V37" s="12"/>
      <c r="W37" s="13"/>
      <c r="X37" s="13"/>
      <c r="Y37" s="13"/>
      <c r="Z37" s="15"/>
      <c r="AC37" s="12"/>
      <c r="AD37" s="13"/>
      <c r="AE37" s="13"/>
      <c r="AF37" s="13"/>
      <c r="AG37" s="15"/>
      <c r="AH37" s="15"/>
      <c r="AI37" s="15"/>
      <c r="AJ37" s="12"/>
      <c r="AK37" s="13"/>
      <c r="AL37" s="13"/>
      <c r="AM37" s="13"/>
      <c r="AN37" s="15"/>
      <c r="AO37" s="15"/>
      <c r="AP37" s="15"/>
      <c r="AQ37" s="12"/>
      <c r="AR37" s="13"/>
      <c r="AS37" s="13"/>
      <c r="AT37" s="13"/>
      <c r="AU37" s="15"/>
      <c r="AV37" s="15"/>
      <c r="AW37" s="15"/>
      <c r="AX37" s="12"/>
      <c r="AY37" s="13"/>
      <c r="AZ37" s="13"/>
      <c r="BA37" s="13"/>
      <c r="BB37" s="15"/>
      <c r="BC37" s="15"/>
      <c r="BD37" s="15"/>
      <c r="BE37" s="12"/>
      <c r="BF37" s="13"/>
      <c r="BG37" s="13"/>
      <c r="BH37" s="13"/>
      <c r="BI37" s="15"/>
      <c r="BJ37" s="15"/>
      <c r="BK37" s="15"/>
      <c r="BL37" s="12"/>
      <c r="BM37" s="13"/>
      <c r="BN37" s="13"/>
      <c r="BO37" s="13"/>
      <c r="BP37" s="15"/>
      <c r="BQ37" s="15"/>
      <c r="BR37" s="15"/>
      <c r="BS37" s="12"/>
      <c r="BT37" s="13"/>
      <c r="BU37" s="13"/>
      <c r="BV37" s="13"/>
      <c r="BW37" s="15"/>
      <c r="BX37" s="15"/>
      <c r="BY37" s="15"/>
      <c r="BZ37" s="12"/>
      <c r="CA37" s="13"/>
      <c r="CB37" s="13"/>
      <c r="CC37" s="13"/>
      <c r="CD37" s="27">
        <v>9.5631354339844626E-2</v>
      </c>
      <c r="CE37" s="27">
        <v>0.24282984784432471</v>
      </c>
      <c r="CF37" s="27">
        <v>0.42259001518200828</v>
      </c>
      <c r="CG37" s="12">
        <v>15</v>
      </c>
      <c r="CH37" s="13">
        <f t="shared" si="6"/>
        <v>1.4344703150976694</v>
      </c>
      <c r="CI37" s="13">
        <f t="shared" si="7"/>
        <v>3.6424477176648704</v>
      </c>
      <c r="CJ37" s="13">
        <f t="shared" si="8"/>
        <v>6.3388502277301244</v>
      </c>
      <c r="CK37" s="16"/>
      <c r="CL37" s="17"/>
      <c r="CM37" s="17"/>
      <c r="CN37" s="16">
        <v>170.63</v>
      </c>
      <c r="CO37" s="16"/>
      <c r="CP37" s="16"/>
      <c r="CQ37" s="16"/>
      <c r="CR37" s="27">
        <v>0.3555485195206507</v>
      </c>
      <c r="CS37" s="27">
        <v>0.62195545399529872</v>
      </c>
      <c r="CT37" s="27">
        <v>0.7947671153134761</v>
      </c>
      <c r="CU37" s="12">
        <v>980.34</v>
      </c>
      <c r="CV37" s="13">
        <f t="shared" si="12"/>
        <v>348.55843562687471</v>
      </c>
      <c r="CW37" s="13">
        <f>CU37*CS37</f>
        <v>609.72780976975116</v>
      </c>
      <c r="CX37" s="13">
        <f>CU37*CT37</f>
        <v>779.14199382641323</v>
      </c>
      <c r="CY37" s="15"/>
      <c r="DB37" s="12"/>
      <c r="DC37" s="13"/>
      <c r="DD37" s="13"/>
      <c r="DE37" s="13"/>
      <c r="DF37" s="15"/>
      <c r="DI37" s="12"/>
      <c r="DJ37" s="13"/>
      <c r="DK37" s="13"/>
      <c r="DL37" s="13"/>
      <c r="DM37" s="24"/>
      <c r="DP37" s="12"/>
      <c r="DQ37" s="13"/>
      <c r="DR37" s="13"/>
      <c r="DS37" s="13"/>
      <c r="DW37" s="12"/>
      <c r="DX37" s="13"/>
      <c r="DY37" s="13"/>
      <c r="DZ37" s="13"/>
      <c r="ED37" s="12"/>
      <c r="EE37" s="13"/>
      <c r="EF37" s="13"/>
      <c r="EG37" s="13"/>
    </row>
    <row r="38" spans="1:137">
      <c r="A38" s="18" t="s">
        <v>38</v>
      </c>
      <c r="B38" s="9">
        <v>3.117327929523352</v>
      </c>
      <c r="C38" s="27">
        <v>0.27676202636053499</v>
      </c>
      <c r="D38" s="27">
        <v>0.73092833793271794</v>
      </c>
      <c r="E38" s="27">
        <v>0.89696891165643511</v>
      </c>
      <c r="F38" s="11">
        <v>503.52455066054324</v>
      </c>
      <c r="G38" s="12">
        <v>504.56852072347903</v>
      </c>
      <c r="H38" s="13">
        <f t="shared" si="0"/>
        <v>368.8034302255827</v>
      </c>
      <c r="I38" s="13">
        <f t="shared" si="1"/>
        <v>139.35647496308979</v>
      </c>
      <c r="J38" s="14">
        <f t="shared" si="2"/>
        <v>368.04036292262953</v>
      </c>
      <c r="K38" s="14">
        <f t="shared" si="3"/>
        <v>451.64586819828298</v>
      </c>
      <c r="L38" s="15"/>
      <c r="M38" s="9"/>
      <c r="N38" s="15"/>
      <c r="O38" s="12"/>
      <c r="P38" s="13"/>
      <c r="Q38" s="13"/>
      <c r="R38" s="13"/>
      <c r="S38" s="15"/>
      <c r="T38" s="15"/>
      <c r="U38" s="15"/>
      <c r="V38" s="12"/>
      <c r="W38" s="13"/>
      <c r="X38" s="13"/>
      <c r="Y38" s="13"/>
      <c r="Z38" s="15"/>
      <c r="AC38" s="12"/>
      <c r="AD38" s="13"/>
      <c r="AE38" s="13"/>
      <c r="AF38" s="13"/>
      <c r="AG38" s="27">
        <v>0.73097941502277852</v>
      </c>
      <c r="AH38" s="27">
        <v>0.83593902894108685</v>
      </c>
      <c r="AI38" s="27">
        <v>0.91302002828850359</v>
      </c>
      <c r="AJ38" s="12">
        <v>8.291872200487612</v>
      </c>
      <c r="AK38" s="13">
        <f>AG38*AJ38</f>
        <v>6.0611878905560737</v>
      </c>
      <c r="AL38" s="13">
        <f>AJ38*AH38</f>
        <v>6.9314995953792078</v>
      </c>
      <c r="AM38" s="13">
        <f>AJ38*AI38</f>
        <v>7.5706453910538558</v>
      </c>
      <c r="AN38" s="27">
        <v>0.6945487818754843</v>
      </c>
      <c r="AO38" s="27">
        <v>0.79929860242852691</v>
      </c>
      <c r="AP38" s="27">
        <v>0.88203191826008409</v>
      </c>
      <c r="AQ38" s="12">
        <v>6.489198843340704</v>
      </c>
      <c r="AR38" s="13">
        <f t="shared" si="28"/>
        <v>4.5070651519900879</v>
      </c>
      <c r="AS38" s="13">
        <f t="shared" si="31"/>
        <v>5.1868075663630382</v>
      </c>
      <c r="AT38" s="13">
        <f t="shared" si="32"/>
        <v>5.7236805037629201</v>
      </c>
      <c r="AU38" s="27">
        <v>0.75873947014088883</v>
      </c>
      <c r="AV38" s="27">
        <v>0.85262960212228966</v>
      </c>
      <c r="AW38" s="27">
        <v>0.92283440071223599</v>
      </c>
      <c r="AX38" s="12">
        <v>48.700601009241929</v>
      </c>
      <c r="AY38" s="13">
        <f>AU38*AX38</f>
        <v>36.951068205295059</v>
      </c>
      <c r="AZ38" s="13">
        <f t="shared" si="44"/>
        <v>41.523574061626327</v>
      </c>
      <c r="BA38" s="13">
        <f t="shared" si="45"/>
        <v>44.942589946689488</v>
      </c>
      <c r="BB38" s="27">
        <v>0.6578522815609863</v>
      </c>
      <c r="BC38" s="27">
        <v>0.77337171583173214</v>
      </c>
      <c r="BD38" s="27">
        <v>0.87165573973982313</v>
      </c>
      <c r="BE38" s="12">
        <v>2.7598230991665251</v>
      </c>
      <c r="BF38" s="13">
        <f t="shared" si="33"/>
        <v>1.8155559224914106</v>
      </c>
      <c r="BG38" s="13">
        <f t="shared" si="46"/>
        <v>2.1343691255944641</v>
      </c>
      <c r="BH38" s="13">
        <f t="shared" si="41"/>
        <v>2.4056156450550485</v>
      </c>
      <c r="BI38" s="16"/>
      <c r="BJ38" s="16"/>
      <c r="BK38" s="16"/>
      <c r="BL38" s="16">
        <v>1.0439700629358739</v>
      </c>
      <c r="BM38" s="16"/>
      <c r="BN38" s="16"/>
      <c r="BO38" s="16"/>
      <c r="BP38" s="27">
        <v>0.54840007373637734</v>
      </c>
      <c r="BQ38" s="27">
        <v>0.67548415384027749</v>
      </c>
      <c r="BR38" s="27">
        <v>0.79341504833639265</v>
      </c>
      <c r="BS38" s="12">
        <v>163.57324091398769</v>
      </c>
      <c r="BT38" s="13">
        <f t="shared" si="29"/>
        <v>89.703577378529062</v>
      </c>
      <c r="BU38" s="13">
        <f t="shared" si="34"/>
        <v>110.49113222969683</v>
      </c>
      <c r="BV38" s="13">
        <f t="shared" si="35"/>
        <v>129.78147084631195</v>
      </c>
      <c r="BW38" s="27">
        <v>0.17356174234260741</v>
      </c>
      <c r="BX38" s="27">
        <v>0.32378343691729278</v>
      </c>
      <c r="BY38" s="27">
        <v>0.48474436186911118</v>
      </c>
      <c r="BZ38" s="12">
        <v>7.1440721211090324E-2</v>
      </c>
      <c r="CA38" s="13">
        <f t="shared" si="36"/>
        <v>1.2399376047609307E-2</v>
      </c>
      <c r="CB38" s="13">
        <f t="shared" si="42"/>
        <v>2.3131322249576963E-2</v>
      </c>
      <c r="CC38" s="13">
        <f t="shared" si="43"/>
        <v>3.4630486814939056E-2</v>
      </c>
      <c r="CD38" s="27">
        <v>0.23665254866645821</v>
      </c>
      <c r="CE38" s="27">
        <v>0.3546195066003196</v>
      </c>
      <c r="CF38" s="27">
        <v>0.49791955834441642</v>
      </c>
      <c r="CG38" s="12">
        <v>8.7617650394057947</v>
      </c>
      <c r="CH38" s="13">
        <f t="shared" si="6"/>
        <v>2.0734940273920519</v>
      </c>
      <c r="CI38" s="13">
        <f t="shared" si="7"/>
        <v>3.1070927952220129</v>
      </c>
      <c r="CJ38" s="13">
        <f t="shared" si="8"/>
        <v>4.3626541787384818</v>
      </c>
      <c r="CK38" s="27">
        <v>0.54716474489964673</v>
      </c>
      <c r="CL38" s="27">
        <v>0.6721487126547796</v>
      </c>
      <c r="CM38" s="27">
        <v>0.78886491746324838</v>
      </c>
      <c r="CN38" s="12">
        <v>161.1777087940126</v>
      </c>
      <c r="CO38" s="13">
        <f t="shared" si="9"/>
        <v>88.190759915785449</v>
      </c>
      <c r="CP38" s="13">
        <f t="shared" si="10"/>
        <v>108.33538947454252</v>
      </c>
      <c r="CQ38" s="13">
        <f t="shared" si="11"/>
        <v>127.14743994470423</v>
      </c>
      <c r="CR38" s="27">
        <v>0.62549289844076261</v>
      </c>
      <c r="CS38" s="27">
        <v>0.73865721584352384</v>
      </c>
      <c r="CT38" s="27">
        <v>0.83626610701352089</v>
      </c>
      <c r="CU38" s="12">
        <v>103.69890003968931</v>
      </c>
      <c r="CV38" s="13">
        <f t="shared" si="12"/>
        <v>64.862925550944183</v>
      </c>
      <c r="CW38" s="13">
        <f>CU38*CS38</f>
        <v>76.597940789352791</v>
      </c>
      <c r="CX38" s="13">
        <f>CU38*CT38</f>
        <v>86.719875437775229</v>
      </c>
      <c r="CY38" s="15"/>
      <c r="DB38" s="12"/>
      <c r="DC38" s="13"/>
      <c r="DD38" s="13"/>
      <c r="DE38" s="13"/>
      <c r="DF38" s="15"/>
      <c r="DI38" s="12"/>
      <c r="DJ38" s="13"/>
      <c r="DK38" s="13"/>
      <c r="DL38" s="13"/>
      <c r="DM38" s="24"/>
      <c r="DP38" s="12"/>
      <c r="DQ38" s="13"/>
      <c r="DR38" s="13"/>
      <c r="DS38" s="13"/>
      <c r="DW38" s="12"/>
      <c r="DX38" s="13"/>
      <c r="DY38" s="13"/>
      <c r="DZ38" s="13"/>
      <c r="ED38" s="12"/>
      <c r="EE38" s="13"/>
      <c r="EF38" s="13"/>
      <c r="EG38" s="13"/>
    </row>
    <row r="39" spans="1:137">
      <c r="A39" s="8" t="s">
        <v>39</v>
      </c>
      <c r="B39" s="9">
        <v>-1.8950969952612171</v>
      </c>
      <c r="C39" s="27">
        <v>2.272477106310456E-4</v>
      </c>
      <c r="D39" s="27">
        <v>2.3293376253166281E-2</v>
      </c>
      <c r="E39" s="27">
        <v>0.12729693630240599</v>
      </c>
      <c r="F39" s="11">
        <v>1251.1799999999998</v>
      </c>
      <c r="G39" s="12">
        <v>1607.83</v>
      </c>
      <c r="H39" s="13">
        <f t="shared" si="0"/>
        <v>37.451789141128337</v>
      </c>
      <c r="I39" s="13">
        <f t="shared" si="1"/>
        <v>0.28432779058735158</v>
      </c>
      <c r="J39" s="14">
        <f t="shared" si="2"/>
        <v>29.144206500436582</v>
      </c>
      <c r="K39" s="14">
        <f t="shared" si="3"/>
        <v>159.2713807628443</v>
      </c>
      <c r="L39" s="15"/>
      <c r="M39" s="9"/>
      <c r="N39" s="15"/>
      <c r="O39" s="12"/>
      <c r="P39" s="13"/>
      <c r="Q39" s="13"/>
      <c r="R39" s="13"/>
      <c r="S39" s="15"/>
      <c r="T39" s="15"/>
      <c r="U39" s="15"/>
      <c r="V39" s="12"/>
      <c r="W39" s="13"/>
      <c r="X39" s="13"/>
      <c r="Y39" s="13"/>
      <c r="Z39" s="27">
        <v>6.5865851631264367E-3</v>
      </c>
      <c r="AA39" s="27">
        <v>2.991839780938434E-2</v>
      </c>
      <c r="AB39" s="27">
        <v>7.5669261584867226E-2</v>
      </c>
      <c r="AC39" s="12">
        <v>39.049999999999997</v>
      </c>
      <c r="AD39" s="13">
        <f>Z39*AC39</f>
        <v>0.25720615062008734</v>
      </c>
      <c r="AE39" s="13">
        <f t="shared" si="25"/>
        <v>1.1683134344564583</v>
      </c>
      <c r="AF39" s="13">
        <f t="shared" si="5"/>
        <v>2.954884664889065</v>
      </c>
      <c r="AG39" s="15"/>
      <c r="AH39" s="15"/>
      <c r="AI39" s="15"/>
      <c r="AJ39" s="12"/>
      <c r="AK39" s="13"/>
      <c r="AL39" s="13"/>
      <c r="AM39" s="13"/>
      <c r="AN39" s="15"/>
      <c r="AO39" s="15"/>
      <c r="AP39" s="15"/>
      <c r="AQ39" s="12"/>
      <c r="AR39" s="13"/>
      <c r="AS39" s="13"/>
      <c r="AT39" s="13"/>
      <c r="AU39" s="15"/>
      <c r="AV39" s="15"/>
      <c r="AW39" s="15"/>
      <c r="AX39" s="12"/>
      <c r="AY39" s="13"/>
      <c r="AZ39" s="13"/>
      <c r="BA39" s="13"/>
      <c r="BB39" s="15"/>
      <c r="BC39" s="15"/>
      <c r="BD39" s="15"/>
      <c r="BE39" s="12"/>
      <c r="BF39" s="13"/>
      <c r="BG39" s="13"/>
      <c r="BH39" s="13"/>
      <c r="BI39" s="15"/>
      <c r="BJ39" s="15"/>
      <c r="BK39" s="15"/>
      <c r="BL39" s="12"/>
      <c r="BM39" s="13"/>
      <c r="BN39" s="13"/>
      <c r="BO39" s="13"/>
      <c r="BP39" s="15"/>
      <c r="BQ39" s="15"/>
      <c r="BR39" s="15"/>
      <c r="BS39" s="12"/>
      <c r="BT39" s="13"/>
      <c r="BU39" s="13"/>
      <c r="BV39" s="13"/>
      <c r="BW39" s="15"/>
      <c r="BX39" s="15"/>
      <c r="BY39" s="15"/>
      <c r="BZ39" s="12"/>
      <c r="CA39" s="13"/>
      <c r="CB39" s="13"/>
      <c r="CC39" s="13"/>
      <c r="CD39" s="27">
        <v>4.161351507835585E-3</v>
      </c>
      <c r="CE39" s="27">
        <v>1.9301894763264629E-2</v>
      </c>
      <c r="CF39" s="27">
        <v>4.8240222192239092E-2</v>
      </c>
      <c r="CG39" s="12">
        <v>241.73000000000002</v>
      </c>
      <c r="CH39" s="13">
        <f t="shared" si="6"/>
        <v>1.005923499989096</v>
      </c>
      <c r="CI39" s="13">
        <f t="shared" si="7"/>
        <v>4.6658470211239589</v>
      </c>
      <c r="CJ39" s="13">
        <f t="shared" si="8"/>
        <v>11.661108910529956</v>
      </c>
      <c r="CK39" s="27">
        <v>1.555201255764709E-2</v>
      </c>
      <c r="CL39" s="27">
        <v>6.8482166120504673E-2</v>
      </c>
      <c r="CM39" s="27">
        <v>0.15963906346189011</v>
      </c>
      <c r="CN39" s="12">
        <v>323</v>
      </c>
      <c r="CO39" s="13">
        <f t="shared" si="9"/>
        <v>5.0233000561200098</v>
      </c>
      <c r="CP39" s="13">
        <f t="shared" si="10"/>
        <v>22.119739656923009</v>
      </c>
      <c r="CQ39" s="13">
        <f t="shared" si="11"/>
        <v>51.563417498190503</v>
      </c>
      <c r="CR39" s="16"/>
      <c r="CS39" s="17"/>
      <c r="CT39" s="17"/>
      <c r="CU39" s="16">
        <v>41.27</v>
      </c>
      <c r="CV39" s="16"/>
      <c r="CW39" s="16"/>
      <c r="CX39" s="16"/>
      <c r="CY39" s="27">
        <v>3.8015588013966279E-3</v>
      </c>
      <c r="CZ39" s="27">
        <v>1.7178372027078559E-2</v>
      </c>
      <c r="DA39" s="27">
        <v>4.4568530527658558E-2</v>
      </c>
      <c r="DB39" s="12">
        <v>445.08</v>
      </c>
      <c r="DC39" s="13">
        <f t="shared" si="13"/>
        <v>1.691997791325611</v>
      </c>
      <c r="DD39" s="13">
        <f t="shared" si="14"/>
        <v>7.6457498218121245</v>
      </c>
      <c r="DE39" s="13">
        <f t="shared" si="15"/>
        <v>19.836561567250271</v>
      </c>
      <c r="DF39" s="27">
        <v>1.480234630735245E-2</v>
      </c>
      <c r="DG39" s="27">
        <v>6.3810048547127268E-2</v>
      </c>
      <c r="DH39" s="27">
        <v>0.15551456908888431</v>
      </c>
      <c r="DI39" s="12">
        <v>28.85</v>
      </c>
      <c r="DJ39" s="13">
        <f t="shared" si="16"/>
        <v>0.4270476909671182</v>
      </c>
      <c r="DK39" s="13">
        <f t="shared" si="17"/>
        <v>1.8409199005846217</v>
      </c>
      <c r="DL39" s="13">
        <f t="shared" si="18"/>
        <v>4.4865953182143121</v>
      </c>
      <c r="DM39" s="27">
        <v>3.1744398546164183E-5</v>
      </c>
      <c r="DN39" s="27">
        <v>8.4218827825090626E-4</v>
      </c>
      <c r="DO39" s="27">
        <v>5.5896451088573241E-3</v>
      </c>
      <c r="DP39" s="12">
        <v>170.07</v>
      </c>
      <c r="DQ39" s="13">
        <f t="shared" si="24"/>
        <v>5.3987698607461422E-3</v>
      </c>
      <c r="DR39" s="13">
        <f t="shared" si="26"/>
        <v>0.14323096048213163</v>
      </c>
      <c r="DS39" s="13">
        <f t="shared" si="27"/>
        <v>0.95063094366336509</v>
      </c>
      <c r="DW39" s="12"/>
      <c r="DX39" s="13"/>
      <c r="DY39" s="13"/>
      <c r="DZ39" s="13"/>
      <c r="EA39" s="27">
        <v>4.3647152055042273E-3</v>
      </c>
      <c r="EB39" s="27">
        <v>2.0013474593415018E-2</v>
      </c>
      <c r="EC39" s="27">
        <v>5.2541763832646693E-2</v>
      </c>
      <c r="ED39" s="12">
        <v>3.4</v>
      </c>
      <c r="EE39" s="13">
        <f t="shared" si="19"/>
        <v>1.4840031698714373E-2</v>
      </c>
      <c r="EF39" s="13">
        <f t="shared" si="20"/>
        <v>6.8045813617611056E-2</v>
      </c>
      <c r="EG39" s="13">
        <f t="shared" si="21"/>
        <v>0.17864199703099876</v>
      </c>
    </row>
    <row r="40" spans="1:137">
      <c r="A40" s="8" t="s">
        <v>40</v>
      </c>
      <c r="B40" s="9">
        <v>1.576975455349519</v>
      </c>
      <c r="C40" s="27">
        <v>0.25253448987593358</v>
      </c>
      <c r="D40" s="27">
        <v>0.41061026953189139</v>
      </c>
      <c r="E40" s="27">
        <v>0.76080394544649943</v>
      </c>
      <c r="F40" s="11">
        <v>762.45</v>
      </c>
      <c r="G40" s="12">
        <v>881.1</v>
      </c>
      <c r="H40" s="13">
        <f t="shared" si="0"/>
        <v>361.78870848454949</v>
      </c>
      <c r="I40" s="13">
        <f t="shared" si="1"/>
        <v>192.54492180590557</v>
      </c>
      <c r="J40" s="14">
        <f t="shared" si="2"/>
        <v>313.0698000045906</v>
      </c>
      <c r="K40" s="14">
        <f t="shared" si="3"/>
        <v>580.07496820568349</v>
      </c>
      <c r="L40" s="15"/>
      <c r="M40" s="9"/>
      <c r="N40" s="15"/>
      <c r="O40" s="12"/>
      <c r="P40" s="13"/>
      <c r="Q40" s="13"/>
      <c r="R40" s="13"/>
      <c r="S40" s="15"/>
      <c r="T40" s="15"/>
      <c r="U40" s="15"/>
      <c r="V40" s="12"/>
      <c r="W40" s="13"/>
      <c r="X40" s="13"/>
      <c r="Y40" s="13"/>
      <c r="Z40" s="15"/>
      <c r="AC40" s="12"/>
      <c r="AD40" s="13"/>
      <c r="AE40" s="13"/>
      <c r="AF40" s="13"/>
      <c r="AG40" s="15"/>
      <c r="AH40" s="15"/>
      <c r="AI40" s="15"/>
      <c r="AJ40" s="12"/>
      <c r="AK40" s="13"/>
      <c r="AL40" s="13"/>
      <c r="AM40" s="13"/>
      <c r="AN40" s="15"/>
      <c r="AO40" s="15"/>
      <c r="AP40" s="15"/>
      <c r="AQ40" s="12"/>
      <c r="AR40" s="13"/>
      <c r="AS40" s="13"/>
      <c r="AT40" s="13"/>
      <c r="AU40" s="15"/>
      <c r="AV40" s="15"/>
      <c r="AW40" s="15"/>
      <c r="AX40" s="12"/>
      <c r="AY40" s="13"/>
      <c r="AZ40" s="13"/>
      <c r="BA40" s="13"/>
      <c r="BB40" s="15"/>
      <c r="BC40" s="15"/>
      <c r="BD40" s="15"/>
      <c r="BE40" s="12"/>
      <c r="BF40" s="13"/>
      <c r="BG40" s="13"/>
      <c r="BH40" s="13"/>
      <c r="BI40" s="15"/>
      <c r="BJ40" s="15"/>
      <c r="BK40" s="15"/>
      <c r="BL40" s="12"/>
      <c r="BM40" s="13"/>
      <c r="BN40" s="13"/>
      <c r="BO40" s="13"/>
      <c r="BP40" s="15"/>
      <c r="BQ40" s="15"/>
      <c r="BR40" s="15"/>
      <c r="BS40" s="12"/>
      <c r="BT40" s="13"/>
      <c r="BU40" s="13"/>
      <c r="BV40" s="13"/>
      <c r="BW40" s="15"/>
      <c r="BX40" s="15"/>
      <c r="BY40" s="15"/>
      <c r="BZ40" s="12"/>
      <c r="CA40" s="13"/>
      <c r="CB40" s="13"/>
      <c r="CC40" s="13"/>
      <c r="CD40" s="27">
        <v>0.25294815828928119</v>
      </c>
      <c r="CE40" s="27">
        <v>0.36016933882842062</v>
      </c>
      <c r="CF40" s="27">
        <v>0.46824173361652</v>
      </c>
      <c r="CG40" s="12">
        <v>300.15000000000003</v>
      </c>
      <c r="CH40" s="13">
        <f t="shared" si="6"/>
        <v>75.922389710527753</v>
      </c>
      <c r="CI40" s="13">
        <f t="shared" si="7"/>
        <v>108.10482704935046</v>
      </c>
      <c r="CJ40" s="13">
        <f t="shared" si="8"/>
        <v>140.54275634499848</v>
      </c>
      <c r="CK40" s="27">
        <v>0.56656297235661945</v>
      </c>
      <c r="CL40" s="27">
        <v>0.67723159191300519</v>
      </c>
      <c r="CM40" s="27">
        <v>0.77259538638487313</v>
      </c>
      <c r="CN40" s="12">
        <v>219.45</v>
      </c>
      <c r="CO40" s="13">
        <f t="shared" si="9"/>
        <v>124.33224428366013</v>
      </c>
      <c r="CP40" s="13">
        <f t="shared" si="10"/>
        <v>148.61847284530899</v>
      </c>
      <c r="CQ40" s="13">
        <f t="shared" si="11"/>
        <v>169.54605754216041</v>
      </c>
      <c r="CR40" s="27">
        <v>0.64007573146002128</v>
      </c>
      <c r="CS40" s="27">
        <v>0.74337625350530856</v>
      </c>
      <c r="CT40" s="27">
        <v>0.82353772153826288</v>
      </c>
      <c r="CU40" s="12">
        <v>16.399999999999999</v>
      </c>
      <c r="CV40" s="13">
        <f t="shared" si="12"/>
        <v>10.497241995944348</v>
      </c>
      <c r="CW40" s="13">
        <f>CU40*CS40</f>
        <v>12.19137055748706</v>
      </c>
      <c r="CX40" s="13">
        <f t="shared" si="23"/>
        <v>13.506018633227511</v>
      </c>
      <c r="CY40" s="27">
        <v>0.22678052762392101</v>
      </c>
      <c r="CZ40" s="27">
        <v>0.33686001782274888</v>
      </c>
      <c r="DA40" s="27">
        <v>0.45783594708608277</v>
      </c>
      <c r="DB40" s="12">
        <v>222.1</v>
      </c>
      <c r="DC40" s="13">
        <f t="shared" si="13"/>
        <v>50.367955185272855</v>
      </c>
      <c r="DD40" s="13">
        <f t="shared" si="14"/>
        <v>74.816609958432522</v>
      </c>
      <c r="DE40" s="13">
        <f t="shared" si="15"/>
        <v>101.68536384781898</v>
      </c>
      <c r="DF40" s="27">
        <v>0.55150262943230466</v>
      </c>
      <c r="DG40" s="27">
        <v>0.66247007992782814</v>
      </c>
      <c r="DH40" s="27">
        <v>0.75854619105418308</v>
      </c>
      <c r="DI40" s="12">
        <v>4.3499999999999996</v>
      </c>
      <c r="DJ40" s="13">
        <f t="shared" si="16"/>
        <v>2.3990364380305249</v>
      </c>
      <c r="DK40" s="13">
        <f t="shared" si="17"/>
        <v>2.8817448476860523</v>
      </c>
      <c r="DL40" s="13">
        <f t="shared" si="18"/>
        <v>3.2996759310856962</v>
      </c>
      <c r="DM40" s="15"/>
      <c r="DP40" s="12"/>
      <c r="DQ40" s="13"/>
      <c r="DR40" s="13"/>
      <c r="DS40" s="13"/>
      <c r="DW40" s="12"/>
      <c r="DX40" s="13"/>
      <c r="DY40" s="13"/>
      <c r="DZ40" s="13"/>
      <c r="EA40" s="15"/>
      <c r="ED40" s="12"/>
      <c r="EE40" s="13"/>
      <c r="EF40" s="13"/>
      <c r="EG40" s="13"/>
    </row>
    <row r="41" spans="1:137">
      <c r="A41" s="8" t="s">
        <v>41</v>
      </c>
      <c r="B41" s="9">
        <v>1.2228554307335511</v>
      </c>
      <c r="C41" s="27">
        <v>5.5801605314257209E-3</v>
      </c>
      <c r="D41" s="27">
        <v>0.2457467245086907</v>
      </c>
      <c r="E41" s="27">
        <v>0.61951093909765631</v>
      </c>
      <c r="F41" s="11">
        <v>488.18999999999994</v>
      </c>
      <c r="G41" s="12">
        <v>1031.52</v>
      </c>
      <c r="H41" s="13">
        <f t="shared" si="0"/>
        <v>253.49266126520462</v>
      </c>
      <c r="I41" s="13">
        <f t="shared" si="1"/>
        <v>2.7241785698367225</v>
      </c>
      <c r="J41" s="14">
        <f t="shared" si="2"/>
        <v>119.97109343789769</v>
      </c>
      <c r="K41" s="14">
        <f t="shared" si="3"/>
        <v>302.4390453580848</v>
      </c>
      <c r="L41" s="15"/>
      <c r="M41" s="9"/>
      <c r="N41" s="15"/>
      <c r="O41" s="12"/>
      <c r="P41" s="13"/>
      <c r="Q41" s="13"/>
      <c r="R41" s="13"/>
      <c r="S41" s="15"/>
      <c r="T41" s="15"/>
      <c r="U41" s="15"/>
      <c r="V41" s="12"/>
      <c r="W41" s="13"/>
      <c r="X41" s="13"/>
      <c r="Y41" s="13"/>
      <c r="Z41" s="27">
        <v>0.21909911824336931</v>
      </c>
      <c r="AA41" s="27">
        <v>0.31576703117884192</v>
      </c>
      <c r="AB41" s="27">
        <v>0.41248072371943267</v>
      </c>
      <c r="AC41" s="12">
        <v>7.38</v>
      </c>
      <c r="AD41" s="13">
        <f>Z41*AC41</f>
        <v>1.6169514926360655</v>
      </c>
      <c r="AE41" s="13">
        <f>AC41*AA41</f>
        <v>2.3303606900998535</v>
      </c>
      <c r="AF41" s="13">
        <f t="shared" si="5"/>
        <v>3.0441077410494133</v>
      </c>
      <c r="AG41" s="15"/>
      <c r="AH41" s="15"/>
      <c r="AI41" s="15"/>
      <c r="AJ41" s="12"/>
      <c r="AK41" s="13"/>
      <c r="AL41" s="13"/>
      <c r="AM41" s="13"/>
      <c r="AN41" s="15"/>
      <c r="AO41" s="15"/>
      <c r="AP41" s="15"/>
      <c r="AQ41" s="12"/>
      <c r="AR41" s="13"/>
      <c r="AS41" s="13"/>
      <c r="AT41" s="13"/>
      <c r="AU41" s="15"/>
      <c r="AV41" s="15"/>
      <c r="AW41" s="15"/>
      <c r="AX41" s="12"/>
      <c r="AY41" s="13"/>
      <c r="AZ41" s="13"/>
      <c r="BA41" s="13"/>
      <c r="BB41" s="15"/>
      <c r="BC41" s="15"/>
      <c r="BD41" s="15"/>
      <c r="BE41" s="12"/>
      <c r="BF41" s="13"/>
      <c r="BG41" s="13"/>
      <c r="BH41" s="13"/>
      <c r="BI41" s="15"/>
      <c r="BJ41" s="15"/>
      <c r="BK41" s="15"/>
      <c r="BL41" s="12"/>
      <c r="BM41" s="13"/>
      <c r="BN41" s="13"/>
      <c r="BO41" s="13"/>
      <c r="BP41" s="15"/>
      <c r="BQ41" s="15"/>
      <c r="BR41" s="15"/>
      <c r="BS41" s="12"/>
      <c r="BT41" s="13"/>
      <c r="BU41" s="13"/>
      <c r="BV41" s="13"/>
      <c r="BW41" s="15"/>
      <c r="BX41" s="15"/>
      <c r="BY41" s="15"/>
      <c r="BZ41" s="12"/>
      <c r="CA41" s="13"/>
      <c r="CB41" s="13"/>
      <c r="CC41" s="13"/>
      <c r="CD41" s="27">
        <v>0.15856621839381141</v>
      </c>
      <c r="CE41" s="27">
        <v>0.22607225307821319</v>
      </c>
      <c r="CF41" s="27">
        <v>0.30082265975041622</v>
      </c>
      <c r="CG41" s="12">
        <v>132.80000000000001</v>
      </c>
      <c r="CH41" s="13">
        <f t="shared" si="6"/>
        <v>21.057593802698158</v>
      </c>
      <c r="CI41" s="13">
        <f t="shared" si="7"/>
        <v>30.022395208786715</v>
      </c>
      <c r="CJ41" s="13">
        <f t="shared" si="8"/>
        <v>39.949249214855278</v>
      </c>
      <c r="CK41" s="27">
        <v>0.41213111278948211</v>
      </c>
      <c r="CL41" s="27">
        <v>0.5242962289429729</v>
      </c>
      <c r="CM41" s="27">
        <v>0.6149399501051348</v>
      </c>
      <c r="CN41" s="12">
        <v>117.97</v>
      </c>
      <c r="CO41" s="13">
        <f t="shared" si="9"/>
        <v>48.619107375775201</v>
      </c>
      <c r="CP41" s="13">
        <f t="shared" si="10"/>
        <v>61.851226128402509</v>
      </c>
      <c r="CQ41" s="13">
        <f t="shared" si="11"/>
        <v>72.544465913902755</v>
      </c>
      <c r="CR41" s="27">
        <v>0.49258586397884419</v>
      </c>
      <c r="CS41" s="27">
        <v>0.60196831848719268</v>
      </c>
      <c r="CT41" s="27">
        <v>0.6875938669584043</v>
      </c>
      <c r="CU41" s="12">
        <v>29.74</v>
      </c>
      <c r="CV41" s="13">
        <f t="shared" si="12"/>
        <v>14.649503594730826</v>
      </c>
      <c r="CW41" s="13">
        <f t="shared" si="22"/>
        <v>17.90253779180911</v>
      </c>
      <c r="CX41" s="13">
        <f t="shared" si="23"/>
        <v>20.449041603342941</v>
      </c>
      <c r="CY41" s="27">
        <v>0.13956905034591019</v>
      </c>
      <c r="CZ41" s="27">
        <v>0.20931025759192029</v>
      </c>
      <c r="DA41" s="27">
        <v>0.28490052237580832</v>
      </c>
      <c r="DB41" s="12">
        <v>175.77</v>
      </c>
      <c r="DC41" s="13">
        <f t="shared" si="13"/>
        <v>24.532051979300636</v>
      </c>
      <c r="DD41" s="13">
        <f t="shared" si="14"/>
        <v>36.790463976931832</v>
      </c>
      <c r="DE41" s="13">
        <f t="shared" si="15"/>
        <v>50.07696481799583</v>
      </c>
      <c r="DF41" s="27">
        <v>0.39846588653367643</v>
      </c>
      <c r="DG41" s="27">
        <v>0.50547503372025804</v>
      </c>
      <c r="DH41" s="27">
        <v>0.59976081672943948</v>
      </c>
      <c r="DI41" s="12">
        <v>4.1500000000000004</v>
      </c>
      <c r="DJ41" s="13">
        <f t="shared" si="16"/>
        <v>1.6536334291147574</v>
      </c>
      <c r="DK41" s="13">
        <f t="shared" si="17"/>
        <v>2.0977213899390712</v>
      </c>
      <c r="DL41" s="13">
        <f t="shared" si="18"/>
        <v>2.489007389427174</v>
      </c>
      <c r="DM41" s="27">
        <v>5.792873690617015E-4</v>
      </c>
      <c r="DN41" s="27">
        <v>1.326701624463876E-2</v>
      </c>
      <c r="DO41" s="27">
        <v>6.3480548733456751E-2</v>
      </c>
      <c r="DP41" s="12">
        <v>14.51</v>
      </c>
      <c r="DQ41" s="13">
        <f t="shared" si="24"/>
        <v>8.4054597250852892E-3</v>
      </c>
      <c r="DR41" s="13">
        <f t="shared" si="26"/>
        <v>0.19250440570970842</v>
      </c>
      <c r="DS41" s="13">
        <f t="shared" si="27"/>
        <v>0.92110276212245745</v>
      </c>
      <c r="DW41" s="12"/>
      <c r="DX41" s="13"/>
      <c r="DY41" s="13"/>
      <c r="DZ41" s="13"/>
      <c r="EA41" s="27">
        <v>0.15271117126242459</v>
      </c>
      <c r="EB41" s="27">
        <v>0.2349956009056971</v>
      </c>
      <c r="EC41" s="27">
        <v>0.3246959904001897</v>
      </c>
      <c r="ED41" s="12">
        <v>5.87</v>
      </c>
      <c r="EE41" s="13">
        <f t="shared" si="19"/>
        <v>0.89641457531043234</v>
      </c>
      <c r="EF41" s="13">
        <f t="shared" si="20"/>
        <v>1.379424177316442</v>
      </c>
      <c r="EG41" s="13">
        <f t="shared" si="21"/>
        <v>1.9059654636491137</v>
      </c>
    </row>
    <row r="42" spans="1:137">
      <c r="A42" s="8" t="s">
        <v>42</v>
      </c>
      <c r="B42" s="9">
        <v>-3.9367303165038212</v>
      </c>
      <c r="C42" s="27">
        <v>4.2952768789626558E-4</v>
      </c>
      <c r="D42" s="27">
        <v>3.5757167274690263E-2</v>
      </c>
      <c r="E42" s="27">
        <v>0.20269080493851721</v>
      </c>
      <c r="F42" s="11">
        <v>624.42000000000007</v>
      </c>
      <c r="G42" s="12">
        <v>2121.59</v>
      </c>
      <c r="H42" s="13">
        <f t="shared" si="0"/>
        <v>75.862048518310118</v>
      </c>
      <c r="I42" s="13">
        <f t="shared" si="1"/>
        <v>0.26820567887618618</v>
      </c>
      <c r="J42" s="14">
        <f t="shared" si="2"/>
        <v>22.327490389662096</v>
      </c>
      <c r="K42" s="14">
        <f t="shared" si="3"/>
        <v>126.56419241970893</v>
      </c>
      <c r="L42" s="15"/>
      <c r="M42" s="9"/>
      <c r="N42" s="15"/>
      <c r="O42" s="12"/>
      <c r="P42" s="13"/>
      <c r="Q42" s="13"/>
      <c r="R42" s="13"/>
      <c r="S42" s="15"/>
      <c r="T42" s="15"/>
      <c r="U42" s="15"/>
      <c r="V42" s="12"/>
      <c r="W42" s="13"/>
      <c r="X42" s="13"/>
      <c r="Y42" s="13"/>
      <c r="Z42" s="27">
        <v>5.446576257126582E-3</v>
      </c>
      <c r="AA42" s="27">
        <v>4.419266253847258E-2</v>
      </c>
      <c r="AB42" s="27">
        <v>0.10928136523684991</v>
      </c>
      <c r="AC42" s="12">
        <v>247.89</v>
      </c>
      <c r="AD42" s="13">
        <f>Z42*AC42</f>
        <v>1.3501517883791083</v>
      </c>
      <c r="AE42" s="13">
        <f t="shared" si="25"/>
        <v>10.954919116661967</v>
      </c>
      <c r="AF42" s="13">
        <f t="shared" si="5"/>
        <v>27.089757628562722</v>
      </c>
      <c r="AG42" s="15"/>
      <c r="AH42" s="15"/>
      <c r="AI42" s="15"/>
      <c r="AJ42" s="12"/>
      <c r="AK42" s="13"/>
      <c r="AL42" s="13"/>
      <c r="AM42" s="13"/>
      <c r="AN42" s="15"/>
      <c r="AO42" s="15"/>
      <c r="AP42" s="15"/>
      <c r="AQ42" s="12"/>
      <c r="AR42" s="13"/>
      <c r="AS42" s="13"/>
      <c r="AT42" s="13"/>
      <c r="AU42" s="15" t="s">
        <v>43</v>
      </c>
      <c r="AV42" s="15"/>
      <c r="AW42" s="15"/>
      <c r="AX42" s="12"/>
      <c r="AY42" s="13"/>
      <c r="AZ42" s="13"/>
      <c r="BA42" s="13"/>
      <c r="BB42" s="15"/>
      <c r="BC42" s="15"/>
      <c r="BD42" s="15"/>
      <c r="BE42" s="12"/>
      <c r="BF42" s="13"/>
      <c r="BG42" s="13"/>
      <c r="BH42" s="13"/>
      <c r="BI42" s="15"/>
      <c r="BJ42" s="15"/>
      <c r="BK42" s="15"/>
      <c r="BL42" s="12"/>
      <c r="BM42" s="13"/>
      <c r="BN42" s="13"/>
      <c r="BO42" s="13"/>
      <c r="BP42" s="15"/>
      <c r="BQ42" s="15"/>
      <c r="BR42" s="15"/>
      <c r="BS42" s="12"/>
      <c r="BT42" s="13"/>
      <c r="BU42" s="13"/>
      <c r="BV42" s="13"/>
      <c r="BW42" s="15"/>
      <c r="BX42" s="15"/>
      <c r="BY42" s="15"/>
      <c r="BZ42" s="12"/>
      <c r="CA42" s="13"/>
      <c r="CB42" s="13"/>
      <c r="CC42" s="13"/>
      <c r="CD42" s="27">
        <v>3.3738748458359571E-3</v>
      </c>
      <c r="CE42" s="27">
        <v>2.8375570130835699E-2</v>
      </c>
      <c r="CF42" s="27">
        <v>7.3345650727318523E-2</v>
      </c>
      <c r="CG42" s="12">
        <v>75.360000000000014</v>
      </c>
      <c r="CH42" s="13">
        <f t="shared" si="6"/>
        <v>0.25425520838219778</v>
      </c>
      <c r="CI42" s="13">
        <f t="shared" si="7"/>
        <v>2.1383829650597788</v>
      </c>
      <c r="CJ42" s="13">
        <f t="shared" si="8"/>
        <v>5.5273282388107248</v>
      </c>
      <c r="CK42" s="27">
        <v>1.2520091733869681E-2</v>
      </c>
      <c r="CL42" s="27">
        <v>9.9675070079824818E-2</v>
      </c>
      <c r="CM42" s="27">
        <v>0.23074310622191169</v>
      </c>
      <c r="CN42" s="12">
        <v>134.66999999999999</v>
      </c>
      <c r="CO42" s="13">
        <f t="shared" si="9"/>
        <v>1.6860807538002298</v>
      </c>
      <c r="CP42" s="13">
        <f t="shared" si="10"/>
        <v>13.423241687650007</v>
      </c>
      <c r="CQ42" s="13">
        <f t="shared" si="11"/>
        <v>31.074174114904842</v>
      </c>
      <c r="CR42" s="27">
        <v>1.800459952760064E-2</v>
      </c>
      <c r="CS42" s="27">
        <v>0.13196094311085591</v>
      </c>
      <c r="CT42" s="27">
        <v>0.28904597517979702</v>
      </c>
      <c r="CU42" s="12">
        <v>64.97</v>
      </c>
      <c r="CV42" s="13">
        <f t="shared" si="12"/>
        <v>1.1697588313082135</v>
      </c>
      <c r="CW42" s="13">
        <f t="shared" si="22"/>
        <v>8.573502473912308</v>
      </c>
      <c r="CX42" s="13">
        <f t="shared" si="23"/>
        <v>18.779317007431413</v>
      </c>
      <c r="CY42" s="27">
        <v>3.0646634231969289E-3</v>
      </c>
      <c r="CZ42" s="27">
        <v>2.5899630433704132E-2</v>
      </c>
      <c r="DA42" s="27">
        <v>6.6664381846898435E-2</v>
      </c>
      <c r="DB42" s="12">
        <v>75.06</v>
      </c>
      <c r="DC42" s="13">
        <f t="shared" si="13"/>
        <v>0.23003363654516149</v>
      </c>
      <c r="DD42" s="13">
        <f t="shared" si="14"/>
        <v>1.9440262603538321</v>
      </c>
      <c r="DE42" s="13">
        <f t="shared" si="15"/>
        <v>5.0038285014281971</v>
      </c>
      <c r="DF42" s="27">
        <v>1.2089250760106239E-2</v>
      </c>
      <c r="DG42" s="27">
        <v>9.3871905174109954E-2</v>
      </c>
      <c r="DH42" s="27">
        <v>0.21824716769351429</v>
      </c>
      <c r="DI42" s="12">
        <v>25.61</v>
      </c>
      <c r="DJ42" s="13">
        <f t="shared" si="16"/>
        <v>0.30960571196632081</v>
      </c>
      <c r="DK42" s="13">
        <f t="shared" si="17"/>
        <v>2.4040594915089559</v>
      </c>
      <c r="DL42" s="13">
        <f t="shared" si="18"/>
        <v>5.5893099646309006</v>
      </c>
      <c r="DM42" s="27">
        <v>3.0167730678733021E-5</v>
      </c>
      <c r="DN42" s="27">
        <v>1.161091212637567E-3</v>
      </c>
      <c r="DO42" s="27">
        <v>8.9444653803069495E-3</v>
      </c>
      <c r="DP42" s="12">
        <v>0.86</v>
      </c>
      <c r="DQ42" s="13">
        <f t="shared" si="24"/>
        <v>2.5944248383710397E-5</v>
      </c>
      <c r="DR42" s="13">
        <f t="shared" si="26"/>
        <v>9.9853844286830755E-4</v>
      </c>
      <c r="DS42" s="13">
        <f t="shared" si="27"/>
        <v>7.6922402270639765E-3</v>
      </c>
      <c r="DW42" s="12"/>
      <c r="DX42" s="13"/>
      <c r="DY42" s="13"/>
      <c r="DZ42" s="13"/>
      <c r="ED42" s="12"/>
      <c r="EE42" s="13"/>
      <c r="EF42" s="13"/>
      <c r="EG42" s="13"/>
    </row>
    <row r="43" spans="1:137">
      <c r="A43" s="21" t="s">
        <v>161</v>
      </c>
      <c r="B43" s="9">
        <v>-3.4044325645892162</v>
      </c>
      <c r="C43" s="27">
        <v>1.2178492583151451E-4</v>
      </c>
      <c r="D43" s="27">
        <v>1.1623070752672901E-2</v>
      </c>
      <c r="E43" s="27">
        <v>8.0823187656767242E-2</v>
      </c>
      <c r="F43" s="11">
        <v>1970</v>
      </c>
      <c r="G43" s="12">
        <v>4140.1499999999996</v>
      </c>
      <c r="H43" s="13">
        <f t="shared" si="0"/>
        <v>48.121256376678708</v>
      </c>
      <c r="I43" s="13">
        <f t="shared" si="1"/>
        <v>0.23991630388808358</v>
      </c>
      <c r="J43" s="14">
        <f t="shared" si="2"/>
        <v>22.897449382765615</v>
      </c>
      <c r="K43" s="14">
        <f t="shared" si="3"/>
        <v>159.22167968383147</v>
      </c>
      <c r="L43" s="15"/>
      <c r="M43" s="9"/>
      <c r="N43" s="15"/>
      <c r="O43" s="12"/>
      <c r="P43" s="13"/>
      <c r="Q43" s="13"/>
      <c r="R43" s="13"/>
      <c r="S43" s="15"/>
      <c r="T43" s="15"/>
      <c r="U43" s="15"/>
      <c r="V43" s="12"/>
      <c r="W43" s="13"/>
      <c r="X43" s="13"/>
      <c r="Y43" s="13"/>
      <c r="Z43" s="27">
        <v>2.443544896620188E-3</v>
      </c>
      <c r="AA43" s="27">
        <v>1.50262207987752E-2</v>
      </c>
      <c r="AB43" s="27">
        <v>5.0870276179518281E-2</v>
      </c>
      <c r="AC43" s="12">
        <v>428.27</v>
      </c>
      <c r="AD43" s="13">
        <f>Z43*AC43</f>
        <v>1.0464969728755278</v>
      </c>
      <c r="AE43" s="13">
        <f t="shared" si="25"/>
        <v>6.4352795814914545</v>
      </c>
      <c r="AF43" s="13">
        <f t="shared" si="5"/>
        <v>21.786213179402292</v>
      </c>
      <c r="AG43" s="15"/>
      <c r="AH43" s="15"/>
      <c r="AI43" s="15"/>
      <c r="AJ43" s="12"/>
      <c r="AK43" s="13"/>
      <c r="AL43" s="13"/>
      <c r="AM43" s="13"/>
      <c r="AN43" s="15"/>
      <c r="AO43" s="15"/>
      <c r="AP43" s="15"/>
      <c r="AQ43" s="12"/>
      <c r="AR43" s="13"/>
      <c r="AS43" s="13"/>
      <c r="AT43" s="13"/>
      <c r="AU43" s="15"/>
      <c r="AV43" s="15"/>
      <c r="AW43" s="15"/>
      <c r="AX43" s="12"/>
      <c r="AY43" s="13"/>
      <c r="AZ43" s="13"/>
      <c r="BA43" s="13"/>
      <c r="BB43" s="15"/>
      <c r="BC43" s="15"/>
      <c r="BD43" s="15"/>
      <c r="BE43" s="12"/>
      <c r="BF43" s="13"/>
      <c r="BG43" s="13"/>
      <c r="BH43" s="13"/>
      <c r="BI43" s="15"/>
      <c r="BJ43" s="15"/>
      <c r="BK43" s="15"/>
      <c r="BL43" s="12"/>
      <c r="BM43" s="13"/>
      <c r="BN43" s="13"/>
      <c r="BO43" s="13"/>
      <c r="BP43" s="15"/>
      <c r="BQ43" s="15"/>
      <c r="BR43" s="15"/>
      <c r="BS43" s="12"/>
      <c r="BT43" s="13"/>
      <c r="BU43" s="13"/>
      <c r="BV43" s="13"/>
      <c r="BW43" s="15"/>
      <c r="BX43" s="15"/>
      <c r="BY43" s="15"/>
      <c r="BZ43" s="12"/>
      <c r="CA43" s="13"/>
      <c r="CB43" s="13"/>
      <c r="CC43" s="13"/>
      <c r="CD43" s="27">
        <v>1.6264393538584479E-3</v>
      </c>
      <c r="CE43" s="27">
        <v>9.6529621069768173E-3</v>
      </c>
      <c r="CF43" s="27">
        <v>3.2374709791407587E-2</v>
      </c>
      <c r="CG43" s="12">
        <v>141.65000000000003</v>
      </c>
      <c r="CH43" s="13">
        <f t="shared" si="6"/>
        <v>0.23038513447404921</v>
      </c>
      <c r="CI43" s="13">
        <f t="shared" si="7"/>
        <v>1.3673420824532665</v>
      </c>
      <c r="CJ43" s="13">
        <f t="shared" si="8"/>
        <v>4.5858776419528855</v>
      </c>
      <c r="CK43" s="27">
        <v>6.2466435513771953E-3</v>
      </c>
      <c r="CL43" s="27">
        <v>3.5519063209053618E-2</v>
      </c>
      <c r="CM43" s="27">
        <v>0.112230342131905</v>
      </c>
      <c r="CN43" s="12">
        <v>333.77</v>
      </c>
      <c r="CO43" s="13">
        <f t="shared" si="9"/>
        <v>2.0849422181431665</v>
      </c>
      <c r="CP43" s="13">
        <f t="shared" si="10"/>
        <v>11.855197727285825</v>
      </c>
      <c r="CQ43" s="13">
        <f t="shared" si="11"/>
        <v>37.459121293365932</v>
      </c>
      <c r="CR43" s="27">
        <v>8.4258164183124949E-3</v>
      </c>
      <c r="CS43" s="27">
        <v>4.7734278451546312E-2</v>
      </c>
      <c r="CT43" s="27">
        <v>0.14507707894866589</v>
      </c>
      <c r="CU43" s="12">
        <v>137.54</v>
      </c>
      <c r="CV43" s="13">
        <f t="shared" si="12"/>
        <v>1.1588867901747004</v>
      </c>
      <c r="CW43" s="13">
        <f t="shared" si="22"/>
        <v>6.5653726582256793</v>
      </c>
      <c r="CX43" s="13">
        <f t="shared" si="23"/>
        <v>19.953901438599505</v>
      </c>
      <c r="CY43" s="27">
        <v>1.46195656338691E-3</v>
      </c>
      <c r="CZ43" s="27">
        <v>8.7864030712322683E-3</v>
      </c>
      <c r="DA43" s="27">
        <v>2.9711162725431398E-2</v>
      </c>
      <c r="DB43" s="12">
        <v>862</v>
      </c>
      <c r="DC43" s="13">
        <f t="shared" si="13"/>
        <v>1.2602065576395165</v>
      </c>
      <c r="DD43" s="13">
        <f t="shared" si="14"/>
        <v>7.5738794474022155</v>
      </c>
      <c r="DE43" s="13">
        <f t="shared" si="15"/>
        <v>25.611022269321865</v>
      </c>
      <c r="DF43" s="27">
        <v>5.7106136086854708E-3</v>
      </c>
      <c r="DG43" s="27">
        <v>3.351162605084762E-2</v>
      </c>
      <c r="DH43" s="27">
        <v>0.106305076794659</v>
      </c>
      <c r="DI43" s="12">
        <v>42.69</v>
      </c>
      <c r="DJ43" s="13">
        <f t="shared" si="16"/>
        <v>0.24378609495478273</v>
      </c>
      <c r="DK43" s="13">
        <f t="shared" si="17"/>
        <v>1.4306113161106848</v>
      </c>
      <c r="DL43" s="13">
        <f t="shared" si="18"/>
        <v>4.5381637283639931</v>
      </c>
      <c r="DM43" s="27">
        <v>1.262852151372771E-5</v>
      </c>
      <c r="DN43" s="27">
        <v>4.2138550616271122E-4</v>
      </c>
      <c r="DO43" s="27">
        <v>3.3758823705589201E-3</v>
      </c>
      <c r="DP43" s="12">
        <v>24.08</v>
      </c>
      <c r="DQ43" s="13">
        <f t="shared" si="24"/>
        <v>3.0409479805056322E-4</v>
      </c>
      <c r="DR43" s="13">
        <f t="shared" si="26"/>
        <v>1.0146962988398086E-2</v>
      </c>
      <c r="DS43" s="13">
        <f t="shared" si="27"/>
        <v>8.1291247483058784E-2</v>
      </c>
      <c r="DW43" s="12"/>
      <c r="DX43" s="13"/>
      <c r="DY43" s="13"/>
      <c r="DZ43" s="13"/>
      <c r="EA43" s="15"/>
      <c r="EB43" s="15"/>
      <c r="EC43" s="15"/>
      <c r="ED43" s="12"/>
      <c r="EE43" s="13"/>
      <c r="EF43" s="13"/>
      <c r="EG43" s="13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Lake+Species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Kang</dc:creator>
  <cp:lastModifiedBy>Wang, Kang</cp:lastModifiedBy>
  <dcterms:created xsi:type="dcterms:W3CDTF">2015-06-05T18:17:20Z</dcterms:created>
  <dcterms:modified xsi:type="dcterms:W3CDTF">2025-06-20T11:38:03Z</dcterms:modified>
</cp:coreProperties>
</file>