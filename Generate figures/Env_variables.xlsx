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Temp\Allochthonous\Two random factors+PC1\Absolute biomass\"/>
    </mc:Choice>
  </mc:AlternateContent>
  <xr:revisionPtr revIDLastSave="0" documentId="13_ncr:1_{938F1CAC-095A-442C-9571-2A861C78FAA1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PCA_Variables" sheetId="1" r:id="rId1"/>
    <sheet name="Cladocera~Bulk_ZPL" sheetId="4" r:id="rId2"/>
  </sheets>
  <definedNames>
    <definedName name="_xlnm._FilterDatabase" localSheetId="0" hidden="1">PCA_Variables!$A$1:$Y$43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3" i="1"/>
  <c r="E42" i="1"/>
  <c r="E40" i="1"/>
  <c r="E41" i="1"/>
  <c r="E39" i="1"/>
  <c r="E38" i="1"/>
  <c r="E37" i="1"/>
  <c r="E36" i="1"/>
  <c r="E32" i="1"/>
  <c r="E33" i="1"/>
  <c r="E35" i="1"/>
  <c r="E34" i="1"/>
  <c r="E31" i="1"/>
  <c r="E30" i="1"/>
  <c r="E29" i="1"/>
  <c r="E23" i="1"/>
  <c r="E28" i="1"/>
  <c r="E27" i="1"/>
  <c r="E26" i="1"/>
  <c r="E25" i="1"/>
  <c r="E24" i="1"/>
  <c r="E22" i="1"/>
  <c r="E21" i="1"/>
  <c r="E20" i="1"/>
  <c r="E19" i="1"/>
  <c r="E16" i="1"/>
  <c r="E18" i="1"/>
  <c r="E17" i="1"/>
  <c r="E15" i="1"/>
  <c r="E14" i="1"/>
  <c r="E13" i="1"/>
  <c r="E12" i="1"/>
  <c r="E11" i="1"/>
  <c r="E10" i="1"/>
  <c r="E7" i="1"/>
  <c r="E9" i="1"/>
  <c r="E8" i="1"/>
  <c r="E6" i="1"/>
  <c r="E5" i="1"/>
  <c r="E4" i="1"/>
  <c r="E2" i="1"/>
</calcChain>
</file>

<file path=xl/sharedStrings.xml><?xml version="1.0" encoding="utf-8"?>
<sst xmlns="http://schemas.openxmlformats.org/spreadsheetml/2006/main" count="157" uniqueCount="156">
  <si>
    <t>pH</t>
  </si>
  <si>
    <t>Alajarvi</t>
  </si>
  <si>
    <t>ALJ</t>
  </si>
  <si>
    <t>Arkusjarvi</t>
  </si>
  <si>
    <t>ARK</t>
  </si>
  <si>
    <t>Erajarvi</t>
  </si>
  <si>
    <t>ERA</t>
  </si>
  <si>
    <t>Haapajarvi</t>
  </si>
  <si>
    <t>HAP</t>
  </si>
  <si>
    <t>Hiidenvesi</t>
  </si>
  <si>
    <t>HII</t>
  </si>
  <si>
    <t>Hirvijarvi</t>
  </si>
  <si>
    <t>HIR</t>
  </si>
  <si>
    <t>Hameenjarvi</t>
  </si>
  <si>
    <t>HAM</t>
  </si>
  <si>
    <t>Jerisjarvi</t>
  </si>
  <si>
    <t>JAR</t>
  </si>
  <si>
    <t>Joroisselka</t>
  </si>
  <si>
    <t>JOR</t>
  </si>
  <si>
    <t>Jyvasjarvi</t>
  </si>
  <si>
    <t>JYV</t>
  </si>
  <si>
    <t>Kakkisenjarvi</t>
  </si>
  <si>
    <t>KAK</t>
  </si>
  <si>
    <t>Kakskerranjarvi</t>
  </si>
  <si>
    <t>KKJ</t>
  </si>
  <si>
    <t>Kilpisjarvi</t>
  </si>
  <si>
    <t>KIL</t>
  </si>
  <si>
    <t>Kuhajarvi</t>
  </si>
  <si>
    <t>KUH</t>
  </si>
  <si>
    <t>Kuontijarvi</t>
  </si>
  <si>
    <t>KUO</t>
  </si>
  <si>
    <t>Koylionjarvi</t>
  </si>
  <si>
    <t>KOY</t>
  </si>
  <si>
    <t>Majajarvi</t>
  </si>
  <si>
    <t>MAJ</t>
  </si>
  <si>
    <t>Mutusjarvi</t>
  </si>
  <si>
    <t>MUD</t>
  </si>
  <si>
    <t>Niemisjarvi</t>
  </si>
  <si>
    <t>NIE</t>
  </si>
  <si>
    <t>Oikojarvi</t>
  </si>
  <si>
    <t>OIK</t>
  </si>
  <si>
    <t>Paatari</t>
  </si>
  <si>
    <t>PAD</t>
  </si>
  <si>
    <t>Pankajarvi</t>
  </si>
  <si>
    <t>PAN</t>
  </si>
  <si>
    <t>Pesosjarvi</t>
  </si>
  <si>
    <t>PES</t>
  </si>
  <si>
    <t>Pusulanjarvi</t>
  </si>
  <si>
    <t>PUS</t>
  </si>
  <si>
    <t>Pyhajarvi</t>
  </si>
  <si>
    <t>PYH</t>
  </si>
  <si>
    <t>Paajarvi</t>
  </si>
  <si>
    <t>PAA</t>
  </si>
  <si>
    <t>Rattosjarvi</t>
  </si>
  <si>
    <t>RAT</t>
  </si>
  <si>
    <t>Ropijarvi</t>
  </si>
  <si>
    <t>ROP</t>
  </si>
  <si>
    <t>Ruokojarvi</t>
  </si>
  <si>
    <t>RUO</t>
  </si>
  <si>
    <t>SUJ</t>
  </si>
  <si>
    <t>SUU</t>
  </si>
  <si>
    <t>Sarkijarvi</t>
  </si>
  <si>
    <t>SKJ</t>
  </si>
  <si>
    <t>Saaksjarvi</t>
  </si>
  <si>
    <t>Saaskjarvi</t>
  </si>
  <si>
    <t>SAA</t>
  </si>
  <si>
    <t>Tottijarvi</t>
  </si>
  <si>
    <t>TOT</t>
  </si>
  <si>
    <t>Valkea-Kotinen</t>
  </si>
  <si>
    <t>VAL</t>
  </si>
  <si>
    <t>Vastusjarvi</t>
  </si>
  <si>
    <t>VAS</t>
  </si>
  <si>
    <t>Vesijarvi</t>
  </si>
  <si>
    <t>VES</t>
  </si>
  <si>
    <t>Viitaanjarvi</t>
  </si>
  <si>
    <t>VIT</t>
  </si>
  <si>
    <t>VIP</t>
  </si>
  <si>
    <t>Villikkalanjarvi</t>
  </si>
  <si>
    <t>VIL</t>
  </si>
  <si>
    <t>Ylisjarvi</t>
  </si>
  <si>
    <t>YLI</t>
  </si>
  <si>
    <t>Alanne</t>
  </si>
  <si>
    <t>ALA</t>
  </si>
  <si>
    <t>Suuri-Vahvanen</t>
    <phoneticPr fontId="1" type="noConversion"/>
  </si>
  <si>
    <t>Suuri-Jukajarvi</t>
    <phoneticPr fontId="1" type="noConversion"/>
  </si>
  <si>
    <t>Horkajarvi</t>
  </si>
  <si>
    <t>PC1</t>
  </si>
  <si>
    <t>LA</t>
  </si>
  <si>
    <t>SL</t>
  </si>
  <si>
    <t>Dmean</t>
  </si>
  <si>
    <t>Dmax</t>
  </si>
  <si>
    <t>CA</t>
  </si>
  <si>
    <t>Log(CA:LA)</t>
  </si>
  <si>
    <t>Urb</t>
  </si>
  <si>
    <t>Agr</t>
  </si>
  <si>
    <t>For</t>
  </si>
  <si>
    <t>Wet</t>
  </si>
  <si>
    <t>Wat</t>
  </si>
  <si>
    <t>DOC</t>
  </si>
  <si>
    <t>Tot-P</t>
  </si>
  <si>
    <t>Tot-N</t>
  </si>
  <si>
    <t>Chl-a</t>
  </si>
  <si>
    <t>SUVA</t>
  </si>
  <si>
    <t>SR</t>
  </si>
  <si>
    <t>PC2</t>
  </si>
  <si>
    <t>PC3</t>
  </si>
  <si>
    <t>Abbr.</t>
    <phoneticPr fontId="1" type="noConversion"/>
  </si>
  <si>
    <t>SD</t>
    <phoneticPr fontId="1" type="noConversion"/>
  </si>
  <si>
    <t>POM_N:C</t>
    <phoneticPr fontId="1" type="noConversion"/>
  </si>
  <si>
    <t>Sarkijarvi</t>
    <phoneticPr fontId="1" type="noConversion"/>
  </si>
  <si>
    <t xml:space="preserve"> Lake</t>
    <phoneticPr fontId="1" type="noConversion"/>
  </si>
  <si>
    <t>Viippero</t>
  </si>
  <si>
    <t>Suuri-Vahvanen</t>
  </si>
  <si>
    <t>Suuri Jukajarvi</t>
  </si>
  <si>
    <t>Cladocera</t>
    <phoneticPr fontId="1" type="noConversion"/>
  </si>
  <si>
    <t>Lake</t>
  </si>
  <si>
    <t>Bulk_ZPL</t>
    <phoneticPr fontId="1" type="noConversion"/>
  </si>
  <si>
    <t>Mean value of multiple values</t>
    <phoneticPr fontId="1" type="noConversion"/>
  </si>
  <si>
    <t>Haapajarvi</t>
    <phoneticPr fontId="1" type="noConversion"/>
  </si>
  <si>
    <t>Hirvijarvi</t>
    <phoneticPr fontId="1" type="noConversion"/>
  </si>
  <si>
    <t>Jerisjarvi</t>
    <phoneticPr fontId="1" type="noConversion"/>
  </si>
  <si>
    <t>Joroisselka</t>
    <phoneticPr fontId="1" type="noConversion"/>
  </si>
  <si>
    <t>Jyvasjarvi</t>
    <phoneticPr fontId="1" type="noConversion"/>
  </si>
  <si>
    <t>Kakkisenjarvi</t>
    <phoneticPr fontId="1" type="noConversion"/>
  </si>
  <si>
    <t>Kakskerranjarvi</t>
    <phoneticPr fontId="1" type="noConversion"/>
  </si>
  <si>
    <t>Kilpisjarvi</t>
    <phoneticPr fontId="1" type="noConversion"/>
  </si>
  <si>
    <t>Koylionjarvi</t>
    <phoneticPr fontId="1" type="noConversion"/>
  </si>
  <si>
    <t>Kuhajarvi</t>
    <phoneticPr fontId="1" type="noConversion"/>
  </si>
  <si>
    <t>Kuontijarvi</t>
    <phoneticPr fontId="1" type="noConversion"/>
  </si>
  <si>
    <t>Majajarvi</t>
    <phoneticPr fontId="1" type="noConversion"/>
  </si>
  <si>
    <t>Mutusjarvi</t>
    <phoneticPr fontId="1" type="noConversion"/>
  </si>
  <si>
    <t>Niemisjarvi</t>
    <phoneticPr fontId="1" type="noConversion"/>
  </si>
  <si>
    <t>Oikojarvi</t>
    <phoneticPr fontId="1" type="noConversion"/>
  </si>
  <si>
    <t>Paajarvi</t>
    <phoneticPr fontId="1" type="noConversion"/>
  </si>
  <si>
    <t>Paatari</t>
    <phoneticPr fontId="1" type="noConversion"/>
  </si>
  <si>
    <t>Pankajarvi</t>
    <phoneticPr fontId="1" type="noConversion"/>
  </si>
  <si>
    <t>Pesosjarvi</t>
    <phoneticPr fontId="1" type="noConversion"/>
  </si>
  <si>
    <t>Pusulanjarvi</t>
    <phoneticPr fontId="1" type="noConversion"/>
  </si>
  <si>
    <t>Pyhajarvi</t>
    <phoneticPr fontId="1" type="noConversion"/>
  </si>
  <si>
    <t>Rattosjarvi</t>
    <phoneticPr fontId="1" type="noConversion"/>
  </si>
  <si>
    <t>Ropijarvi</t>
    <phoneticPr fontId="1" type="noConversion"/>
  </si>
  <si>
    <t>Ruokojarvi</t>
    <phoneticPr fontId="1" type="noConversion"/>
  </si>
  <si>
    <t>Saaskjarvi</t>
    <phoneticPr fontId="1" type="noConversion"/>
  </si>
  <si>
    <t>Tottijarvi</t>
    <phoneticPr fontId="1" type="noConversion"/>
  </si>
  <si>
    <t>Valkea-Kotinen</t>
    <phoneticPr fontId="1" type="noConversion"/>
  </si>
  <si>
    <t>Vastusjarvi</t>
    <phoneticPr fontId="1" type="noConversion"/>
  </si>
  <si>
    <t>Vesijarvi</t>
    <phoneticPr fontId="1" type="noConversion"/>
  </si>
  <si>
    <t>Viipperonjarvi</t>
    <phoneticPr fontId="1" type="noConversion"/>
  </si>
  <si>
    <t>Viitaanjarvi</t>
    <phoneticPr fontId="1" type="noConversion"/>
  </si>
  <si>
    <t>Villikkalanjarvi</t>
    <phoneticPr fontId="1" type="noConversion"/>
  </si>
  <si>
    <t>Ylisjarvi</t>
    <phoneticPr fontId="1" type="noConversion"/>
  </si>
  <si>
    <t>Arkusjarvi</t>
    <phoneticPr fontId="1" type="noConversion"/>
  </si>
  <si>
    <t>Alanne</t>
    <phoneticPr fontId="1" type="noConversion"/>
  </si>
  <si>
    <t>Erajarvi</t>
    <phoneticPr fontId="1" type="noConversion"/>
  </si>
  <si>
    <t>Hiidenvesi</t>
    <phoneticPr fontId="1" type="noConversion"/>
  </si>
  <si>
    <t>Hameenjarvi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</si>
</sst>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等线"/>
      <family val="2"/>
      <scheme val="minor"/>
    </font>
    <font>
      <sz val="12"/>
      <color theme="1"/>
      <name val="等线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654725887674556"/>
                  <c:y val="0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'Cladocera~Bulk_ZPL'!$D$2:$D$45</c:f>
              <c:numCache>
                <c:formatCode>General</c:formatCode>
                <c:ptCount val="44"/>
                <c:pt idx="0">
                  <c:v>7.1096695670000001</c:v>
                </c:pt>
                <c:pt idx="1">
                  <c:v>1.1987276309999999</c:v>
                </c:pt>
                <c:pt idx="2">
                  <c:v>7.0627154804999996</c:v>
                </c:pt>
                <c:pt idx="3">
                  <c:v>7.7612566879999996</c:v>
                </c:pt>
                <c:pt idx="4">
                  <c:v>7.1979580885000001</c:v>
                </c:pt>
                <c:pt idx="5">
                  <c:v>2.5865668980000001</c:v>
                </c:pt>
                <c:pt idx="6">
                  <c:v>10.9907489</c:v>
                </c:pt>
                <c:pt idx="7">
                  <c:v>3.5802021800000001</c:v>
                </c:pt>
                <c:pt idx="8">
                  <c:v>2.2623106074999999</c:v>
                </c:pt>
                <c:pt idx="9">
                  <c:v>4.7514211550000001</c:v>
                </c:pt>
                <c:pt idx="10">
                  <c:v>8.1799695704999991</c:v>
                </c:pt>
                <c:pt idx="11">
                  <c:v>8.4025861760588239</c:v>
                </c:pt>
                <c:pt idx="12">
                  <c:v>3.9857151800000001</c:v>
                </c:pt>
                <c:pt idx="13">
                  <c:v>9.0568415649999992</c:v>
                </c:pt>
                <c:pt idx="14">
                  <c:v>5.0533614149999986</c:v>
                </c:pt>
                <c:pt idx="15">
                  <c:v>10.283145129999999</c:v>
                </c:pt>
                <c:pt idx="16">
                  <c:v>5.6390140816666667</c:v>
                </c:pt>
                <c:pt idx="17">
                  <c:v>4.5890175014999999</c:v>
                </c:pt>
                <c:pt idx="18">
                  <c:v>5.1793588210000001</c:v>
                </c:pt>
                <c:pt idx="19">
                  <c:v>4.2242755289999998</c:v>
                </c:pt>
                <c:pt idx="20">
                  <c:v>8.1189667225000015</c:v>
                </c:pt>
                <c:pt idx="21">
                  <c:v>4.3980389009999996</c:v>
                </c:pt>
                <c:pt idx="22">
                  <c:v>8.0807698943750008</c:v>
                </c:pt>
                <c:pt idx="23">
                  <c:v>3.8998113640000001</c:v>
                </c:pt>
                <c:pt idx="24">
                  <c:v>8.4364543565000005</c:v>
                </c:pt>
                <c:pt idx="25">
                  <c:v>3.3483513330000001</c:v>
                </c:pt>
                <c:pt idx="26">
                  <c:v>7.4633789760000004</c:v>
                </c:pt>
                <c:pt idx="27">
                  <c:v>9.4602270280000003</c:v>
                </c:pt>
                <c:pt idx="28">
                  <c:v>3.3092728220000001</c:v>
                </c:pt>
                <c:pt idx="29">
                  <c:v>4.2011099825000002</c:v>
                </c:pt>
                <c:pt idx="30">
                  <c:v>3.3159872175</c:v>
                </c:pt>
                <c:pt idx="31">
                  <c:v>10.614300258388891</c:v>
                </c:pt>
                <c:pt idx="32">
                  <c:v>11.208115375</c:v>
                </c:pt>
                <c:pt idx="33">
                  <c:v>5.7653503480000001</c:v>
                </c:pt>
                <c:pt idx="34">
                  <c:v>2.500522439</c:v>
                </c:pt>
                <c:pt idx="35">
                  <c:v>1.7363456525000001</c:v>
                </c:pt>
                <c:pt idx="36">
                  <c:v>8.5553468710000011</c:v>
                </c:pt>
                <c:pt idx="37">
                  <c:v>4.0695586365</c:v>
                </c:pt>
                <c:pt idx="38">
                  <c:v>4.0354339750000001</c:v>
                </c:pt>
                <c:pt idx="40">
                  <c:v>4.0277567240000014</c:v>
                </c:pt>
                <c:pt idx="41">
                  <c:v>8.0391788340000012</c:v>
                </c:pt>
                <c:pt idx="42">
                  <c:v>9.7632761605000002</c:v>
                </c:pt>
                <c:pt idx="43">
                  <c:v>10.97491054</c:v>
                </c:pt>
              </c:numCache>
            </c:numRef>
          </c:xVal>
          <c:yVal>
            <c:numRef>
              <c:f>'Cladocera~Bulk_ZPL'!$C$2:$C$45</c:f>
              <c:numCache>
                <c:formatCode>General</c:formatCode>
                <c:ptCount val="44"/>
                <c:pt idx="0">
                  <c:v>6.9008728719999999</c:v>
                </c:pt>
                <c:pt idx="1">
                  <c:v>1.039147058</c:v>
                </c:pt>
                <c:pt idx="2">
                  <c:v>6.4487407680000004</c:v>
                </c:pt>
                <c:pt idx="3">
                  <c:v>7.449346287</c:v>
                </c:pt>
                <c:pt idx="4">
                  <c:v>6.8850828579999996</c:v>
                </c:pt>
                <c:pt idx="5">
                  <c:v>1.8979739360000001</c:v>
                </c:pt>
                <c:pt idx="6">
                  <c:v>10.05711417</c:v>
                </c:pt>
                <c:pt idx="8">
                  <c:v>2.1113828350000001</c:v>
                </c:pt>
                <c:pt idx="9">
                  <c:v>5.0159737230000001</c:v>
                </c:pt>
                <c:pt idx="10">
                  <c:v>7.1086437809999996</c:v>
                </c:pt>
                <c:pt idx="11">
                  <c:v>6.9497206767857147</c:v>
                </c:pt>
                <c:pt idx="12">
                  <c:v>2.8785634679999998</c:v>
                </c:pt>
                <c:pt idx="13">
                  <c:v>6.5765376169999996</c:v>
                </c:pt>
                <c:pt idx="14">
                  <c:v>3.7548264539999998</c:v>
                </c:pt>
                <c:pt idx="15">
                  <c:v>8.5938060410000006</c:v>
                </c:pt>
                <c:pt idx="16">
                  <c:v>6.5406484069999999</c:v>
                </c:pt>
                <c:pt idx="17">
                  <c:v>6.2531531310000004</c:v>
                </c:pt>
                <c:pt idx="18">
                  <c:v>3.9799852919999998</c:v>
                </c:pt>
                <c:pt idx="22">
                  <c:v>6.0745643349999998</c:v>
                </c:pt>
                <c:pt idx="23">
                  <c:v>2.4690313769999999</c:v>
                </c:pt>
                <c:pt idx="25">
                  <c:v>3.1145709990000001</c:v>
                </c:pt>
                <c:pt idx="26">
                  <c:v>6.0596268455000004</c:v>
                </c:pt>
                <c:pt idx="27">
                  <c:v>8.5110236889999999</c:v>
                </c:pt>
                <c:pt idx="28">
                  <c:v>2.9789736320000002</c:v>
                </c:pt>
                <c:pt idx="29">
                  <c:v>2.693188433</c:v>
                </c:pt>
                <c:pt idx="30">
                  <c:v>2.0874677149999998</c:v>
                </c:pt>
                <c:pt idx="31">
                  <c:v>9.8816396803750006</c:v>
                </c:pt>
                <c:pt idx="32">
                  <c:v>9.7324731379999996</c:v>
                </c:pt>
                <c:pt idx="33">
                  <c:v>5.105279243</c:v>
                </c:pt>
                <c:pt idx="34">
                  <c:v>1.841388107</c:v>
                </c:pt>
                <c:pt idx="35">
                  <c:v>0.768548122</c:v>
                </c:pt>
                <c:pt idx="36">
                  <c:v>6.7940870950000001</c:v>
                </c:pt>
                <c:pt idx="39">
                  <c:v>7.0911953104999998</c:v>
                </c:pt>
                <c:pt idx="40">
                  <c:v>3.247009609</c:v>
                </c:pt>
                <c:pt idx="41">
                  <c:v>6.5761818950000004</c:v>
                </c:pt>
                <c:pt idx="42">
                  <c:v>7.4642937749999998</c:v>
                </c:pt>
                <c:pt idx="43">
                  <c:v>9.2961805119999994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8-4ACA-BBA6-A04B63C6B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156111"/>
        <c:axId val="887155151"/>
      </c:scatterChart>
      <c:valAx>
        <c:axId val="887156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Bulk_ZPL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7155151"/>
        <c:crosses val="autoZero"/>
        <c:crossBetween val="midCat"/>
      </c:valAx>
      <c:valAx>
        <c:axId val="8871551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200" b="1"/>
                  <a:t>Cladocera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715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616857</xdr:colOff>
      <xdr:row>8</xdr:row>
      <xdr:rowOff>10035</xdr:rowOff>
    </xdr:from>
    <xdr:to>
      <xdr:col>13</xdr:col>
      <xdr:colOff>226388</xdr:colOff>
      <xdr:row>22</xdr:row>
      <xdr:rowOff>10034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254FAE-2C58-0C66-DAB3-5278D6C29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"/>
  <sheetViews>
    <sheetView zoomScale="85" zoomScaleNormal="85" workbookViewId="0">
      <pane ySplit="1" topLeftCell="A2" activePane="bottomLeft" state="frozen"/>
      <selection pane="bottomLeft" activeCell="AC12" sqref="AC12"/>
    </sheetView>
  </sheetViews>
  <sheetFormatPr defaultColWidth="8.6640625" defaultRowHeight="15.4"/>
  <cols>
    <col min="1" max="1" width="15.46484375" style="1" bestFit="1" customWidth="1"/>
    <col min="2" max="2" width="11.73046875" style="1" bestFit="1" customWidth="1"/>
    <col min="3" max="3" width="9.33203125" style="1" bestFit="1" customWidth="1"/>
    <col min="4" max="4" width="9" style="1" bestFit="1" customWidth="1"/>
    <col min="5" max="5" width="13.53125" style="1" bestFit="1" customWidth="1"/>
    <col min="6" max="6" width="12.9296875" style="1" bestFit="1" customWidth="1"/>
    <col min="7" max="7" width="11.796875" style="1" bestFit="1" customWidth="1"/>
    <col min="8" max="8" width="9.46484375" style="1" bestFit="1" customWidth="1"/>
    <col min="9" max="9" width="18.19921875" style="1" bestFit="1" customWidth="1"/>
    <col min="10" max="10" width="10.1328125" style="1" bestFit="1" customWidth="1"/>
    <col min="11" max="11" width="9.86328125" style="1" bestFit="1" customWidth="1"/>
    <col min="12" max="12" width="13.53125" style="1" bestFit="1" customWidth="1"/>
    <col min="13" max="13" width="10.265625" style="1" bestFit="1" customWidth="1"/>
    <col min="14" max="14" width="13.53125" style="1" bestFit="1" customWidth="1"/>
    <col min="15" max="15" width="11.19921875" style="1" bestFit="1" customWidth="1"/>
    <col min="16" max="16" width="11.6640625" style="1" bestFit="1" customWidth="1"/>
    <col min="17" max="17" width="11.9296875" style="1" bestFit="1" customWidth="1"/>
    <col min="18" max="18" width="11.59765625" style="1" bestFit="1" customWidth="1"/>
    <col min="19" max="19" width="9.265625" style="1" bestFit="1" customWidth="1"/>
    <col min="20" max="21" width="13.53125" style="1" bestFit="1" customWidth="1"/>
    <col min="22" max="22" width="16.3984375" style="1" bestFit="1" customWidth="1"/>
    <col min="23" max="25" width="14.265625" style="1" bestFit="1" customWidth="1"/>
    <col min="26" max="16384" width="8.6640625" style="1"/>
  </cols>
  <sheetData>
    <row r="1" spans="1:29" s="6" customFormat="1" ht="15">
      <c r="A1" s="6" t="s">
        <v>110</v>
      </c>
      <c r="B1" s="7" t="s">
        <v>106</v>
      </c>
      <c r="C1" s="7" t="s">
        <v>87</v>
      </c>
      <c r="D1" s="7" t="s">
        <v>88</v>
      </c>
      <c r="E1" s="6" t="s">
        <v>107</v>
      </c>
      <c r="F1" s="7" t="s">
        <v>89</v>
      </c>
      <c r="G1" s="7" t="s">
        <v>90</v>
      </c>
      <c r="H1" s="7" t="s">
        <v>91</v>
      </c>
      <c r="I1" s="7" t="s">
        <v>92</v>
      </c>
      <c r="J1" s="7" t="s">
        <v>93</v>
      </c>
      <c r="K1" s="7" t="s">
        <v>94</v>
      </c>
      <c r="L1" s="7" t="s">
        <v>95</v>
      </c>
      <c r="M1" s="7" t="s">
        <v>96</v>
      </c>
      <c r="N1" s="7" t="s">
        <v>97</v>
      </c>
      <c r="O1" s="7" t="s">
        <v>98</v>
      </c>
      <c r="P1" s="7" t="s">
        <v>99</v>
      </c>
      <c r="Q1" s="7" t="s">
        <v>100</v>
      </c>
      <c r="R1" s="7" t="s">
        <v>101</v>
      </c>
      <c r="S1" s="6" t="s">
        <v>0</v>
      </c>
      <c r="T1" s="7" t="s">
        <v>102</v>
      </c>
      <c r="U1" s="7" t="s">
        <v>103</v>
      </c>
      <c r="V1" s="6" t="s">
        <v>108</v>
      </c>
      <c r="W1" s="6" t="s">
        <v>86</v>
      </c>
      <c r="X1" s="6" t="s">
        <v>104</v>
      </c>
      <c r="Y1" s="6" t="s">
        <v>105</v>
      </c>
    </row>
    <row r="2" spans="1:29">
      <c r="A2" s="1" t="s">
        <v>1</v>
      </c>
      <c r="B2" s="1" t="s">
        <v>2</v>
      </c>
      <c r="C2" s="1">
        <v>11.08</v>
      </c>
      <c r="D2" s="1">
        <v>33.29</v>
      </c>
      <c r="E2" s="1">
        <f t="shared" ref="E2:E43" si="0">D2/(2*PI()^(1/2)*C2^(1.1/2))</f>
        <v>2.5015661691288753</v>
      </c>
      <c r="F2" s="1">
        <v>1.41</v>
      </c>
      <c r="G2" s="1">
        <v>7.03</v>
      </c>
      <c r="H2" s="1">
        <v>482.04</v>
      </c>
      <c r="I2" s="1">
        <v>1.6385433173868853</v>
      </c>
      <c r="J2" s="1">
        <v>3.3</v>
      </c>
      <c r="K2" s="1">
        <v>12.5</v>
      </c>
      <c r="L2" s="1">
        <v>77.900000000000006</v>
      </c>
      <c r="M2" s="1">
        <v>2.8</v>
      </c>
      <c r="N2" s="1">
        <v>3.8</v>
      </c>
      <c r="O2" s="1">
        <v>19.489999999999998</v>
      </c>
      <c r="P2" s="1">
        <v>62.64</v>
      </c>
      <c r="Q2" s="1">
        <v>907.14</v>
      </c>
      <c r="R2" s="1">
        <v>24.71</v>
      </c>
      <c r="S2" s="1">
        <v>6.85</v>
      </c>
      <c r="T2" s="1">
        <v>13.464987557721908</v>
      </c>
      <c r="U2" s="2">
        <v>1.3415424949999999</v>
      </c>
      <c r="V2" s="3">
        <v>8.2878217374610111E-2</v>
      </c>
      <c r="W2" s="3">
        <v>1.17107024605219</v>
      </c>
      <c r="X2" s="3">
        <v>-2.0903969849880348</v>
      </c>
      <c r="Y2" s="3">
        <v>-1.397616720371111</v>
      </c>
      <c r="AA2"/>
      <c r="AB2"/>
      <c r="AC2"/>
    </row>
    <row r="3" spans="1:29">
      <c r="A3" s="1" t="s">
        <v>152</v>
      </c>
      <c r="B3" s="1" t="s">
        <v>82</v>
      </c>
      <c r="C3" s="1">
        <v>10.01</v>
      </c>
      <c r="D3" s="1">
        <v>46.66</v>
      </c>
      <c r="E3" s="1">
        <f t="shared" si="0"/>
        <v>3.7076698880258085</v>
      </c>
      <c r="F3" s="1">
        <v>3.15</v>
      </c>
      <c r="G3" s="1">
        <v>15.39</v>
      </c>
      <c r="H3" s="1">
        <v>357.61</v>
      </c>
      <c r="I3" s="1">
        <v>1.5529755771750331</v>
      </c>
      <c r="J3" s="1">
        <v>0.6</v>
      </c>
      <c r="K3" s="1">
        <v>0.5</v>
      </c>
      <c r="L3" s="1">
        <v>80.400000000000006</v>
      </c>
      <c r="M3" s="1">
        <v>10.4</v>
      </c>
      <c r="N3" s="1">
        <v>8.4</v>
      </c>
      <c r="O3" s="1">
        <v>10.16</v>
      </c>
      <c r="P3" s="1">
        <v>21</v>
      </c>
      <c r="Q3" s="1">
        <v>480</v>
      </c>
      <c r="R3" s="1">
        <v>11</v>
      </c>
      <c r="S3" s="1">
        <v>5.45</v>
      </c>
      <c r="T3" s="1">
        <v>14.861807549212596</v>
      </c>
      <c r="U3" s="2">
        <v>0.755020629</v>
      </c>
      <c r="V3" s="3">
        <v>5.836701707233017E-2</v>
      </c>
      <c r="W3" s="3">
        <v>-2.9172268138024702</v>
      </c>
      <c r="X3" s="3">
        <v>-1.2761862388738929</v>
      </c>
      <c r="Y3" s="3">
        <v>-1.1585368591203209</v>
      </c>
      <c r="AA3"/>
      <c r="AB3"/>
      <c r="AC3"/>
    </row>
    <row r="4" spans="1:29">
      <c r="A4" s="1" t="s">
        <v>151</v>
      </c>
      <c r="B4" s="1" t="s">
        <v>4</v>
      </c>
      <c r="C4" s="1">
        <v>1.1000000000000001</v>
      </c>
      <c r="D4" s="1">
        <v>4.45</v>
      </c>
      <c r="E4" s="1">
        <f t="shared" si="0"/>
        <v>1.1912121162493361</v>
      </c>
      <c r="F4" s="1">
        <v>7.85</v>
      </c>
      <c r="G4" s="1">
        <v>14.06</v>
      </c>
      <c r="H4" s="1">
        <v>3.79</v>
      </c>
      <c r="I4" s="1">
        <v>0.53724652480984725</v>
      </c>
      <c r="J4" s="1">
        <v>9.4</v>
      </c>
      <c r="K4" s="1">
        <v>13.8</v>
      </c>
      <c r="L4" s="1">
        <v>49.5</v>
      </c>
      <c r="M4" s="1">
        <v>0.6</v>
      </c>
      <c r="N4" s="1">
        <v>28.5</v>
      </c>
      <c r="O4" s="1">
        <v>4.5469999999999997</v>
      </c>
      <c r="P4" s="1">
        <v>9</v>
      </c>
      <c r="Q4" s="1">
        <v>330</v>
      </c>
      <c r="R4" s="1">
        <v>3</v>
      </c>
      <c r="S4" s="1">
        <v>7.6</v>
      </c>
      <c r="T4" s="1">
        <v>4.5991693869223385</v>
      </c>
      <c r="U4" s="2">
        <v>0.77813870600000001</v>
      </c>
      <c r="V4" s="3">
        <v>0.11254547435192852</v>
      </c>
      <c r="W4" s="3">
        <v>1.138307345609306</v>
      </c>
      <c r="X4" s="3">
        <v>1.50533216427882</v>
      </c>
      <c r="Y4" s="3">
        <v>3.6721528817205402</v>
      </c>
      <c r="AA4"/>
      <c r="AB4"/>
      <c r="AC4"/>
    </row>
    <row r="5" spans="1:29">
      <c r="A5" s="1" t="s">
        <v>153</v>
      </c>
      <c r="B5" s="1" t="s">
        <v>6</v>
      </c>
      <c r="C5" s="1">
        <v>8.35</v>
      </c>
      <c r="D5" s="1">
        <v>39.56</v>
      </c>
      <c r="E5" s="1">
        <f t="shared" si="0"/>
        <v>3.4731519926881429</v>
      </c>
      <c r="F5" s="1">
        <v>2.12</v>
      </c>
      <c r="G5" s="1">
        <v>10</v>
      </c>
      <c r="H5" s="1">
        <v>58.23</v>
      </c>
      <c r="I5" s="1">
        <v>0.84346031462442317</v>
      </c>
      <c r="J5" s="1">
        <v>3.9</v>
      </c>
      <c r="K5" s="1">
        <v>15.5</v>
      </c>
      <c r="L5" s="1">
        <v>65.099999999999994</v>
      </c>
      <c r="M5" s="1">
        <v>3</v>
      </c>
      <c r="N5" s="1">
        <v>12.9</v>
      </c>
      <c r="O5" s="1">
        <v>7.6790000000000003</v>
      </c>
      <c r="P5" s="1">
        <v>25.75</v>
      </c>
      <c r="Q5" s="1">
        <v>610</v>
      </c>
      <c r="R5" s="1">
        <v>14.23</v>
      </c>
      <c r="S5" s="1">
        <v>7.4</v>
      </c>
      <c r="T5" s="1">
        <v>6.9219560619872365</v>
      </c>
      <c r="U5" s="2">
        <v>1.0857286779999999</v>
      </c>
      <c r="V5" s="3">
        <v>0.11188353735444483</v>
      </c>
      <c r="W5" s="3">
        <v>1.037098116898586</v>
      </c>
      <c r="X5" s="3">
        <v>0.55488873432929586</v>
      </c>
      <c r="Y5" s="3">
        <v>1.122953755570288</v>
      </c>
      <c r="AA5"/>
      <c r="AB5"/>
      <c r="AC5"/>
    </row>
    <row r="6" spans="1:29">
      <c r="A6" s="1" t="s">
        <v>118</v>
      </c>
      <c r="B6" s="1" t="s">
        <v>8</v>
      </c>
      <c r="C6" s="1">
        <v>25.88</v>
      </c>
      <c r="D6" s="1">
        <v>87.22</v>
      </c>
      <c r="E6" s="1">
        <f t="shared" si="0"/>
        <v>4.1103688977834416</v>
      </c>
      <c r="F6" s="1">
        <v>2.8</v>
      </c>
      <c r="G6" s="1">
        <v>8.5</v>
      </c>
      <c r="H6" s="1">
        <v>1936.77</v>
      </c>
      <c r="I6" s="1">
        <v>1.8741137773947982</v>
      </c>
      <c r="J6" s="1">
        <v>2.1</v>
      </c>
      <c r="K6" s="1">
        <v>14.4</v>
      </c>
      <c r="L6" s="1">
        <v>74.8</v>
      </c>
      <c r="M6" s="1">
        <v>4.0999999999999996</v>
      </c>
      <c r="N6" s="1">
        <v>4.5999999999999996</v>
      </c>
      <c r="O6" s="1">
        <v>14.35</v>
      </c>
      <c r="P6" s="1">
        <v>88.1</v>
      </c>
      <c r="Q6" s="1">
        <v>1013</v>
      </c>
      <c r="R6" s="1">
        <v>39.4</v>
      </c>
      <c r="S6" s="1">
        <v>6.97</v>
      </c>
      <c r="T6" s="1">
        <v>10.946359609756097</v>
      </c>
      <c r="U6" s="2">
        <v>0.85023293799999999</v>
      </c>
      <c r="V6" s="3">
        <v>7.4665850360349173E-2</v>
      </c>
      <c r="W6" s="3">
        <v>0.64051867316985323</v>
      </c>
      <c r="X6" s="3">
        <v>-0.87967138571590198</v>
      </c>
      <c r="Y6" s="3">
        <v>-3.5803232083013872</v>
      </c>
      <c r="AA6"/>
      <c r="AB6"/>
      <c r="AC6"/>
    </row>
    <row r="7" spans="1:29">
      <c r="A7" s="1" t="s">
        <v>155</v>
      </c>
      <c r="B7" s="1" t="s">
        <v>14</v>
      </c>
      <c r="C7" s="1">
        <v>1.3</v>
      </c>
      <c r="D7" s="1">
        <v>16.29</v>
      </c>
      <c r="E7" s="1">
        <f t="shared" si="0"/>
        <v>3.9778399811688834</v>
      </c>
      <c r="F7" s="1">
        <v>4.54</v>
      </c>
      <c r="G7" s="1">
        <v>17</v>
      </c>
      <c r="H7" s="1">
        <v>14.37</v>
      </c>
      <c r="I7" s="1">
        <v>1.0435134158273889</v>
      </c>
      <c r="J7" s="1">
        <v>1.9</v>
      </c>
      <c r="K7" s="1">
        <v>0.8</v>
      </c>
      <c r="L7" s="1">
        <v>83.6</v>
      </c>
      <c r="M7" s="1">
        <v>0.4</v>
      </c>
      <c r="N7" s="1">
        <v>14.4</v>
      </c>
      <c r="O7" s="1">
        <v>6.2450000000000001</v>
      </c>
      <c r="P7" s="1">
        <v>7</v>
      </c>
      <c r="Q7" s="1">
        <v>300</v>
      </c>
      <c r="R7" s="1">
        <v>6</v>
      </c>
      <c r="S7" s="1">
        <v>6.7</v>
      </c>
      <c r="T7" s="1">
        <v>8.6403618414731795</v>
      </c>
      <c r="U7" s="2">
        <v>0.98836426300000002</v>
      </c>
      <c r="V7" s="3">
        <v>8.0014987655359124E-2</v>
      </c>
      <c r="W7" s="3">
        <v>-1.6256594275307421</v>
      </c>
      <c r="X7" s="3">
        <v>-5.6728438863682867E-2</v>
      </c>
      <c r="Y7" s="3">
        <v>1.3274885295291681</v>
      </c>
      <c r="AA7"/>
      <c r="AB7"/>
      <c r="AC7"/>
    </row>
    <row r="8" spans="1:29">
      <c r="A8" s="1" t="s">
        <v>154</v>
      </c>
      <c r="B8" s="1" t="s">
        <v>10</v>
      </c>
      <c r="C8" s="1">
        <v>29.1</v>
      </c>
      <c r="D8" s="1">
        <v>100.87</v>
      </c>
      <c r="E8" s="1">
        <f t="shared" si="0"/>
        <v>4.4567261071361317</v>
      </c>
      <c r="F8" s="1">
        <v>6.68</v>
      </c>
      <c r="G8" s="1">
        <v>29.38</v>
      </c>
      <c r="H8" s="1">
        <v>925.84</v>
      </c>
      <c r="I8" s="1">
        <v>1.5026429511290693</v>
      </c>
      <c r="J8" s="1">
        <v>6.7</v>
      </c>
      <c r="K8" s="1">
        <v>16.2</v>
      </c>
      <c r="L8" s="1">
        <v>67.5</v>
      </c>
      <c r="M8" s="1">
        <v>0.8</v>
      </c>
      <c r="N8" s="1">
        <v>8.8000000000000007</v>
      </c>
      <c r="O8" s="1">
        <v>8.6310000000000002</v>
      </c>
      <c r="P8" s="1">
        <v>38.33</v>
      </c>
      <c r="Q8" s="1">
        <v>1018.33</v>
      </c>
      <c r="R8" s="1">
        <v>15.25</v>
      </c>
      <c r="S8" s="1">
        <v>7.77</v>
      </c>
      <c r="T8" s="1">
        <v>12.382887591240875</v>
      </c>
      <c r="U8" s="2">
        <v>1.0071508389999999</v>
      </c>
      <c r="V8" s="3">
        <v>0.12035349001953789</v>
      </c>
      <c r="W8" s="3">
        <v>1.7407006965289049</v>
      </c>
      <c r="X8" s="3">
        <v>1.5138681046271141</v>
      </c>
      <c r="Y8" s="3">
        <v>-1.908775783551901</v>
      </c>
      <c r="AA8"/>
      <c r="AB8"/>
      <c r="AC8"/>
    </row>
    <row r="9" spans="1:29">
      <c r="A9" s="1" t="s">
        <v>119</v>
      </c>
      <c r="B9" s="1" t="s">
        <v>12</v>
      </c>
      <c r="C9" s="1">
        <v>0.98</v>
      </c>
      <c r="D9" s="1">
        <v>12.84</v>
      </c>
      <c r="E9" s="1">
        <f t="shared" si="0"/>
        <v>3.6625684507818468</v>
      </c>
      <c r="F9" s="1">
        <v>1</v>
      </c>
      <c r="G9" s="1">
        <v>3</v>
      </c>
      <c r="H9" s="1">
        <v>14.81</v>
      </c>
      <c r="I9" s="1">
        <v>1.1793289828287137</v>
      </c>
      <c r="J9" s="1">
        <v>0.5</v>
      </c>
      <c r="K9" s="1">
        <v>0</v>
      </c>
      <c r="L9" s="1">
        <v>91.3</v>
      </c>
      <c r="M9" s="1">
        <v>0.8</v>
      </c>
      <c r="N9" s="1">
        <v>8.3000000000000007</v>
      </c>
      <c r="O9" s="1">
        <v>16.97</v>
      </c>
      <c r="P9" s="1">
        <v>25.5</v>
      </c>
      <c r="Q9" s="1">
        <v>560</v>
      </c>
      <c r="R9" s="1">
        <v>19.75</v>
      </c>
      <c r="S9" s="1">
        <v>6.35</v>
      </c>
      <c r="T9" s="1">
        <v>11.863001349440188</v>
      </c>
      <c r="U9" s="2">
        <v>0.804317909</v>
      </c>
      <c r="V9" s="3">
        <v>6.5241584547356429E-2</v>
      </c>
      <c r="W9" s="3">
        <v>-1.8576846479093809</v>
      </c>
      <c r="X9" s="3">
        <v>-2.6428451675438649</v>
      </c>
      <c r="Y9" s="3">
        <v>-7.9268815040385091E-2</v>
      </c>
      <c r="AA9"/>
      <c r="AB9"/>
      <c r="AC9"/>
    </row>
    <row r="10" spans="1:29">
      <c r="A10" s="1" t="s">
        <v>120</v>
      </c>
      <c r="B10" s="1" t="s">
        <v>16</v>
      </c>
      <c r="C10" s="1">
        <v>23.51</v>
      </c>
      <c r="D10" s="1">
        <v>74.83</v>
      </c>
      <c r="E10" s="1">
        <f t="shared" si="0"/>
        <v>3.7177644234754852</v>
      </c>
      <c r="F10" s="1">
        <v>3.44</v>
      </c>
      <c r="G10" s="1">
        <v>11.7</v>
      </c>
      <c r="H10" s="1">
        <v>130.87</v>
      </c>
      <c r="I10" s="1">
        <v>0.74558747328772468</v>
      </c>
      <c r="J10" s="1">
        <v>1.5</v>
      </c>
      <c r="K10" s="1">
        <v>0.4</v>
      </c>
      <c r="L10" s="1">
        <v>65.7</v>
      </c>
      <c r="M10" s="1">
        <v>8.1999999999999993</v>
      </c>
      <c r="N10" s="1">
        <v>24.6</v>
      </c>
      <c r="O10" s="1">
        <v>7.3739999999999997</v>
      </c>
      <c r="P10" s="1">
        <v>17</v>
      </c>
      <c r="Q10" s="1">
        <v>370</v>
      </c>
      <c r="R10" s="1">
        <v>14</v>
      </c>
      <c r="S10" s="1">
        <v>7.2</v>
      </c>
      <c r="T10" s="1">
        <v>6.2240523782003212</v>
      </c>
      <c r="U10" s="2">
        <v>0.910926244</v>
      </c>
      <c r="V10" s="3">
        <v>0.10490439597539537</v>
      </c>
      <c r="W10" s="3">
        <v>-0.7276883241265133</v>
      </c>
      <c r="X10" s="3">
        <v>1.612730001281512</v>
      </c>
      <c r="Y10" s="3">
        <v>1.4505842725937721</v>
      </c>
      <c r="AA10"/>
      <c r="AB10"/>
      <c r="AC10"/>
    </row>
    <row r="11" spans="1:29">
      <c r="A11" s="1" t="s">
        <v>121</v>
      </c>
      <c r="B11" s="1" t="s">
        <v>18</v>
      </c>
      <c r="C11" s="1">
        <v>13</v>
      </c>
      <c r="D11" s="1">
        <v>23.17</v>
      </c>
      <c r="E11" s="1">
        <f t="shared" si="0"/>
        <v>1.5946018294370519</v>
      </c>
      <c r="F11" s="1">
        <v>9.1300000000000008</v>
      </c>
      <c r="G11" s="1">
        <v>55</v>
      </c>
      <c r="H11" s="1">
        <v>1472</v>
      </c>
      <c r="I11" s="1">
        <v>2.0539644576946432</v>
      </c>
      <c r="J11" s="1">
        <v>2.5</v>
      </c>
      <c r="K11" s="1">
        <v>5.8</v>
      </c>
      <c r="L11" s="1">
        <v>70.900000000000006</v>
      </c>
      <c r="M11" s="1">
        <v>3</v>
      </c>
      <c r="N11" s="1">
        <v>17.899999999999999</v>
      </c>
      <c r="O11" s="1">
        <v>10.39</v>
      </c>
      <c r="P11" s="1">
        <v>26</v>
      </c>
      <c r="Q11" s="1">
        <v>485</v>
      </c>
      <c r="R11" s="1">
        <v>16</v>
      </c>
      <c r="S11" s="1">
        <v>7.2</v>
      </c>
      <c r="T11" s="1">
        <v>11.221639027911451</v>
      </c>
      <c r="U11" s="2">
        <v>0.86965658999999995</v>
      </c>
      <c r="V11" s="3">
        <v>9.2235646101934896E-2</v>
      </c>
      <c r="W11" s="3">
        <v>-0.61556901496778682</v>
      </c>
      <c r="X11" s="3">
        <v>0.6167161454663872</v>
      </c>
      <c r="Y11" s="3">
        <v>-0.99730668377496456</v>
      </c>
      <c r="AA11"/>
      <c r="AB11"/>
      <c r="AC11"/>
    </row>
    <row r="12" spans="1:29">
      <c r="A12" s="1" t="s">
        <v>122</v>
      </c>
      <c r="B12" s="1" t="s">
        <v>20</v>
      </c>
      <c r="C12" s="1">
        <v>3.3</v>
      </c>
      <c r="D12" s="1">
        <v>13.99</v>
      </c>
      <c r="E12" s="1">
        <f t="shared" si="0"/>
        <v>2.0465865495073619</v>
      </c>
      <c r="F12" s="1">
        <v>7</v>
      </c>
      <c r="G12" s="1">
        <v>25</v>
      </c>
      <c r="H12" s="1">
        <v>366.9</v>
      </c>
      <c r="I12" s="1">
        <v>2.0460337718780606</v>
      </c>
      <c r="J12" s="1">
        <v>12.1</v>
      </c>
      <c r="K12" s="1">
        <v>6.4</v>
      </c>
      <c r="L12" s="1">
        <v>73.5</v>
      </c>
      <c r="M12" s="1">
        <v>0.6</v>
      </c>
      <c r="N12" s="1">
        <v>7.5</v>
      </c>
      <c r="O12" s="1">
        <v>8.5679999999999996</v>
      </c>
      <c r="P12" s="1">
        <v>25.38</v>
      </c>
      <c r="Q12" s="1">
        <v>560.83000000000004</v>
      </c>
      <c r="R12" s="1">
        <v>9.4499999999999993</v>
      </c>
      <c r="S12" s="1">
        <v>7.12</v>
      </c>
      <c r="T12" s="1">
        <v>9.6167729776472335</v>
      </c>
      <c r="U12" s="1">
        <v>0.84960700975000003</v>
      </c>
      <c r="V12" s="3">
        <v>0.10358773237889021</v>
      </c>
      <c r="W12" s="3">
        <v>0.52847475385239728</v>
      </c>
      <c r="X12" s="3">
        <v>-0.2810488846700554</v>
      </c>
      <c r="Y12" s="3">
        <v>-0.15118479727851269</v>
      </c>
    </row>
    <row r="13" spans="1:29">
      <c r="A13" s="1" t="s">
        <v>123</v>
      </c>
      <c r="B13" s="1" t="s">
        <v>22</v>
      </c>
      <c r="C13" s="1">
        <v>1.93</v>
      </c>
      <c r="D13" s="1">
        <v>15.82</v>
      </c>
      <c r="E13" s="1">
        <f t="shared" si="0"/>
        <v>3.1084581677153764</v>
      </c>
      <c r="F13" s="1">
        <v>2.09</v>
      </c>
      <c r="G13" s="1">
        <v>6</v>
      </c>
      <c r="H13" s="1">
        <v>25.4</v>
      </c>
      <c r="I13" s="1">
        <v>1.1192764076121644</v>
      </c>
      <c r="J13" s="1">
        <v>0.4</v>
      </c>
      <c r="K13" s="1">
        <v>0</v>
      </c>
      <c r="L13" s="1">
        <v>84.4</v>
      </c>
      <c r="M13" s="1">
        <v>0.6</v>
      </c>
      <c r="N13" s="1">
        <v>15.4</v>
      </c>
      <c r="O13" s="1">
        <v>11.84</v>
      </c>
      <c r="P13" s="1">
        <v>27</v>
      </c>
      <c r="Q13" s="1">
        <v>400</v>
      </c>
      <c r="R13" s="1">
        <v>16</v>
      </c>
      <c r="S13" s="1">
        <v>6.2</v>
      </c>
      <c r="T13" s="1">
        <v>11.840829918120335</v>
      </c>
      <c r="U13" s="2">
        <v>0.77843522899999995</v>
      </c>
      <c r="V13" s="3">
        <v>5.9965535779404784E-2</v>
      </c>
      <c r="W13" s="3">
        <v>-2.0316999639270201</v>
      </c>
      <c r="X13" s="3">
        <v>-1.8728093587644059</v>
      </c>
      <c r="Y13" s="3">
        <v>0.7374022062714648</v>
      </c>
      <c r="AA13"/>
      <c r="AB13"/>
      <c r="AC13"/>
    </row>
    <row r="14" spans="1:29">
      <c r="A14" s="1" t="s">
        <v>124</v>
      </c>
      <c r="B14" s="1" t="s">
        <v>24</v>
      </c>
      <c r="C14" s="1">
        <v>1.63</v>
      </c>
      <c r="D14" s="1">
        <v>15.05</v>
      </c>
      <c r="E14" s="1">
        <f t="shared" si="0"/>
        <v>3.2451022496266155</v>
      </c>
      <c r="F14" s="1">
        <v>6.38</v>
      </c>
      <c r="G14" s="1">
        <v>15.15</v>
      </c>
      <c r="H14" s="1">
        <v>8.76</v>
      </c>
      <c r="I14" s="1">
        <v>0.73031650176412288</v>
      </c>
      <c r="J14" s="1">
        <v>1</v>
      </c>
      <c r="K14" s="1">
        <v>27</v>
      </c>
      <c r="L14" s="1">
        <v>53.438356159999998</v>
      </c>
      <c r="M14" s="1">
        <v>0</v>
      </c>
      <c r="N14" s="1">
        <v>18.561643839999999</v>
      </c>
      <c r="O14" s="1">
        <v>5.8070000000000004</v>
      </c>
      <c r="P14" s="1">
        <v>19.149999999999999</v>
      </c>
      <c r="Q14" s="1">
        <v>439.23</v>
      </c>
      <c r="R14" s="1">
        <v>7.7</v>
      </c>
      <c r="S14" s="1">
        <v>7.97</v>
      </c>
      <c r="T14" s="1">
        <v>5.525292229778807</v>
      </c>
      <c r="U14" s="2">
        <v>1.2567508119999999</v>
      </c>
      <c r="V14" s="3">
        <v>0.10329138648983414</v>
      </c>
      <c r="W14" s="3">
        <v>1.6755385850022719</v>
      </c>
      <c r="X14" s="3">
        <v>1.4976456058248271</v>
      </c>
      <c r="Y14" s="3">
        <v>2.2476356367715509</v>
      </c>
      <c r="AA14"/>
      <c r="AB14"/>
      <c r="AC14"/>
    </row>
    <row r="15" spans="1:29">
      <c r="A15" s="1" t="s">
        <v>125</v>
      </c>
      <c r="B15" s="1" t="s">
        <v>26</v>
      </c>
      <c r="C15" s="1">
        <v>37.33</v>
      </c>
      <c r="D15" s="1">
        <v>71.540000000000006</v>
      </c>
      <c r="E15" s="1">
        <f t="shared" si="0"/>
        <v>2.7562087641173627</v>
      </c>
      <c r="F15" s="1">
        <v>19.5</v>
      </c>
      <c r="G15" s="1">
        <v>57</v>
      </c>
      <c r="H15" s="1">
        <v>308.62</v>
      </c>
      <c r="I15" s="1">
        <v>0.91736607699910466</v>
      </c>
      <c r="J15" s="1">
        <v>0.4</v>
      </c>
      <c r="K15" s="1">
        <v>0</v>
      </c>
      <c r="L15" s="1">
        <v>44.7</v>
      </c>
      <c r="M15" s="1">
        <v>2.2999999999999998</v>
      </c>
      <c r="N15" s="1">
        <v>8.8000000000000007</v>
      </c>
      <c r="O15" s="1">
        <v>1.9019999999999999</v>
      </c>
      <c r="P15" s="1">
        <v>3.75</v>
      </c>
      <c r="Q15" s="1">
        <v>115.4</v>
      </c>
      <c r="R15" s="1">
        <v>1.6</v>
      </c>
      <c r="S15" s="1">
        <v>7.16</v>
      </c>
      <c r="T15" s="1">
        <v>6.1247916044848205</v>
      </c>
      <c r="U15" s="2">
        <v>1.088755583</v>
      </c>
      <c r="V15" s="3">
        <v>8.9850321643009365E-2</v>
      </c>
      <c r="W15" s="3">
        <v>-0.66365332997471305</v>
      </c>
      <c r="X15" s="3">
        <v>4.1703332708900049</v>
      </c>
      <c r="Y15" s="3">
        <v>0.84854718756732561</v>
      </c>
      <c r="AA15"/>
      <c r="AB15"/>
    </row>
    <row r="16" spans="1:29">
      <c r="A16" s="1" t="s">
        <v>126</v>
      </c>
      <c r="B16" s="1" t="s">
        <v>32</v>
      </c>
      <c r="C16" s="1">
        <v>12.42</v>
      </c>
      <c r="D16" s="1">
        <v>36.79</v>
      </c>
      <c r="E16" s="1">
        <f t="shared" si="0"/>
        <v>2.5963185609770965</v>
      </c>
      <c r="F16" s="1">
        <v>2.62</v>
      </c>
      <c r="G16" s="1">
        <v>12.81</v>
      </c>
      <c r="H16" s="1">
        <v>145.22</v>
      </c>
      <c r="I16" s="1">
        <v>1.0679048365806156</v>
      </c>
      <c r="J16" s="1">
        <v>8.4</v>
      </c>
      <c r="K16" s="1">
        <v>28.3</v>
      </c>
      <c r="L16" s="1">
        <v>53.6</v>
      </c>
      <c r="M16" s="1">
        <v>1.5</v>
      </c>
      <c r="N16" s="1">
        <v>8.6999999999999993</v>
      </c>
      <c r="O16" s="1">
        <v>7.1890000000000001</v>
      </c>
      <c r="P16" s="1">
        <v>112.4</v>
      </c>
      <c r="Q16" s="1">
        <v>1327</v>
      </c>
      <c r="R16" s="1">
        <v>72.180000000000007</v>
      </c>
      <c r="S16" s="1">
        <v>8.3800000000000008</v>
      </c>
      <c r="T16" s="1">
        <v>4.9420541755292149</v>
      </c>
      <c r="U16" s="2">
        <v>1.3718495390000001</v>
      </c>
      <c r="V16" s="3">
        <v>0.12575958059753697</v>
      </c>
      <c r="W16" s="3">
        <v>6.0660332268881501</v>
      </c>
      <c r="X16" s="3">
        <v>-6.1267361138042362E-2</v>
      </c>
      <c r="Y16" s="3">
        <v>-8.3676871094379046E-2</v>
      </c>
      <c r="AA16"/>
      <c r="AB16"/>
      <c r="AC16"/>
    </row>
    <row r="17" spans="1:29">
      <c r="A17" s="1" t="s">
        <v>127</v>
      </c>
      <c r="B17" s="1" t="s">
        <v>28</v>
      </c>
      <c r="C17" s="1">
        <v>3.06</v>
      </c>
      <c r="D17" s="1">
        <v>12.16</v>
      </c>
      <c r="E17" s="1">
        <f t="shared" si="0"/>
        <v>1.854307941838931</v>
      </c>
      <c r="F17" s="1">
        <v>2.1</v>
      </c>
      <c r="G17" s="1">
        <v>6.3</v>
      </c>
      <c r="H17" s="1">
        <v>16</v>
      </c>
      <c r="I17" s="1">
        <v>0.71839855617434478</v>
      </c>
      <c r="J17" s="1">
        <v>3.2</v>
      </c>
      <c r="K17" s="1">
        <v>5.8</v>
      </c>
      <c r="L17" s="1">
        <v>57.2</v>
      </c>
      <c r="M17" s="1">
        <v>6.3</v>
      </c>
      <c r="N17" s="1">
        <v>28.5</v>
      </c>
      <c r="O17" s="1">
        <v>9.266</v>
      </c>
      <c r="P17" s="1">
        <v>39</v>
      </c>
      <c r="Q17" s="1">
        <v>620</v>
      </c>
      <c r="R17" s="1">
        <v>27.6</v>
      </c>
      <c r="S17" s="1">
        <v>7.02</v>
      </c>
      <c r="T17" s="1">
        <v>8.647272884739909</v>
      </c>
      <c r="U17" s="2">
        <v>0.91965098000000001</v>
      </c>
      <c r="V17" s="3">
        <v>0.1479031498181515</v>
      </c>
      <c r="W17" s="3">
        <v>1.175620502848868</v>
      </c>
      <c r="X17" s="3">
        <v>-0.17696748654229871</v>
      </c>
      <c r="Y17" s="3">
        <v>2.299411951801412</v>
      </c>
      <c r="AA17"/>
      <c r="AB17"/>
      <c r="AC17"/>
    </row>
    <row r="18" spans="1:29">
      <c r="A18" s="1" t="s">
        <v>128</v>
      </c>
      <c r="B18" s="1" t="s">
        <v>30</v>
      </c>
      <c r="C18" s="1">
        <v>5.95</v>
      </c>
      <c r="D18" s="1">
        <v>25.53</v>
      </c>
      <c r="E18" s="1">
        <f t="shared" si="0"/>
        <v>2.7006080112534629</v>
      </c>
      <c r="F18" s="1">
        <v>1.68</v>
      </c>
      <c r="G18" s="1">
        <v>12.93</v>
      </c>
      <c r="H18" s="1">
        <v>89.13</v>
      </c>
      <c r="I18" s="1">
        <v>1.1755069407947769</v>
      </c>
      <c r="J18" s="1">
        <v>3.8</v>
      </c>
      <c r="K18" s="1">
        <v>5.5</v>
      </c>
      <c r="L18" s="1">
        <v>66.7</v>
      </c>
      <c r="M18" s="1">
        <v>8.8000000000000007</v>
      </c>
      <c r="N18" s="1">
        <v>15.6</v>
      </c>
      <c r="O18" s="1">
        <v>6.8440000000000003</v>
      </c>
      <c r="P18" s="1">
        <v>24</v>
      </c>
      <c r="Q18" s="1">
        <v>540</v>
      </c>
      <c r="R18" s="1">
        <v>12</v>
      </c>
      <c r="S18" s="1">
        <v>7.5</v>
      </c>
      <c r="T18" s="1">
        <v>7.2703159336645227</v>
      </c>
      <c r="U18" s="2">
        <v>1.0069709229999999</v>
      </c>
      <c r="V18" s="3">
        <v>9.5702731419928522E-2</v>
      </c>
      <c r="W18" s="3">
        <v>3.4508240671020908E-2</v>
      </c>
      <c r="X18" s="3">
        <v>0.4496582133636064</v>
      </c>
      <c r="Y18" s="3">
        <v>1.13445453785578</v>
      </c>
      <c r="AA18"/>
      <c r="AB18"/>
      <c r="AC18"/>
    </row>
    <row r="19" spans="1:29">
      <c r="A19" s="1" t="s">
        <v>129</v>
      </c>
      <c r="B19" s="1" t="s">
        <v>34</v>
      </c>
      <c r="C19" s="1">
        <v>0.03</v>
      </c>
      <c r="D19" s="1">
        <v>1.1000000000000001</v>
      </c>
      <c r="E19" s="1">
        <f t="shared" si="0"/>
        <v>2.1348681745773934</v>
      </c>
      <c r="F19" s="1">
        <v>4</v>
      </c>
      <c r="G19" s="1">
        <v>12</v>
      </c>
      <c r="H19" s="1">
        <v>1.91</v>
      </c>
      <c r="I19" s="1">
        <v>1.803912112528065</v>
      </c>
      <c r="J19" s="1">
        <v>0</v>
      </c>
      <c r="K19" s="1">
        <v>0</v>
      </c>
      <c r="L19" s="1">
        <v>96.7</v>
      </c>
      <c r="M19" s="1">
        <v>0.1</v>
      </c>
      <c r="N19" s="1">
        <v>3.2</v>
      </c>
      <c r="O19" s="1">
        <v>17.27</v>
      </c>
      <c r="P19" s="1">
        <v>32</v>
      </c>
      <c r="Q19" s="1">
        <v>703</v>
      </c>
      <c r="R19" s="1">
        <v>6</v>
      </c>
      <c r="S19" s="1">
        <v>5.75</v>
      </c>
      <c r="T19" s="1">
        <v>12.53410083671106</v>
      </c>
      <c r="U19" s="2">
        <v>0.85066698600000001</v>
      </c>
      <c r="V19" s="3">
        <v>6.2839751804437766E-2</v>
      </c>
      <c r="W19" s="3">
        <v>-2.2939672308944359</v>
      </c>
      <c r="X19" s="3">
        <v>-3.2481768285699602</v>
      </c>
      <c r="Y19" s="3">
        <v>-0.67202248867078573</v>
      </c>
      <c r="AA19"/>
      <c r="AB19"/>
      <c r="AC19"/>
    </row>
    <row r="20" spans="1:29">
      <c r="A20" s="1" t="s">
        <v>130</v>
      </c>
      <c r="B20" s="1" t="s">
        <v>36</v>
      </c>
      <c r="C20" s="1">
        <v>50.45</v>
      </c>
      <c r="D20" s="1">
        <v>160.15</v>
      </c>
      <c r="E20" s="1">
        <f t="shared" si="0"/>
        <v>5.2281539463140039</v>
      </c>
      <c r="F20" s="1">
        <v>8.5</v>
      </c>
      <c r="G20" s="1">
        <v>74</v>
      </c>
      <c r="H20" s="1">
        <v>2204.86</v>
      </c>
      <c r="I20" s="1">
        <v>1.6405198481026986</v>
      </c>
      <c r="J20" s="1">
        <v>0.2</v>
      </c>
      <c r="K20" s="1">
        <v>0</v>
      </c>
      <c r="L20" s="1">
        <v>70.8</v>
      </c>
      <c r="M20" s="1">
        <v>21.6</v>
      </c>
      <c r="N20" s="1">
        <v>7.3</v>
      </c>
      <c r="O20" s="1">
        <v>3.9809999999999999</v>
      </c>
      <c r="P20" s="1">
        <v>4</v>
      </c>
      <c r="Q20" s="1">
        <v>160</v>
      </c>
      <c r="R20" s="1">
        <v>1.53</v>
      </c>
      <c r="S20" s="1">
        <v>7.23</v>
      </c>
      <c r="T20" s="1">
        <v>9.9525061750596571</v>
      </c>
      <c r="U20" s="2">
        <v>0.81805079300000005</v>
      </c>
      <c r="V20" s="3">
        <v>6.1132477318838058E-2</v>
      </c>
      <c r="W20" s="3">
        <v>-3.2760529504953069</v>
      </c>
      <c r="X20" s="3">
        <v>4.6954953165858759</v>
      </c>
      <c r="Y20" s="3">
        <v>-3.7127254747487499</v>
      </c>
      <c r="AA20"/>
      <c r="AB20"/>
      <c r="AC20"/>
    </row>
    <row r="21" spans="1:29">
      <c r="A21" s="1" t="s">
        <v>131</v>
      </c>
      <c r="B21" s="1" t="s">
        <v>38</v>
      </c>
      <c r="C21" s="1">
        <v>4.18</v>
      </c>
      <c r="D21" s="1">
        <v>28.62</v>
      </c>
      <c r="E21" s="1">
        <f t="shared" si="0"/>
        <v>3.6763575471877123</v>
      </c>
      <c r="F21" s="1">
        <v>1.55</v>
      </c>
      <c r="G21" s="1">
        <v>5</v>
      </c>
      <c r="H21" s="1">
        <v>181.1</v>
      </c>
      <c r="I21" s="1">
        <v>1.6367421685390233</v>
      </c>
      <c r="J21" s="1">
        <v>2.5</v>
      </c>
      <c r="K21" s="1">
        <v>19.2</v>
      </c>
      <c r="L21" s="1">
        <v>73.8</v>
      </c>
      <c r="M21" s="1">
        <v>2.6</v>
      </c>
      <c r="N21" s="1">
        <v>2.2999999999999998</v>
      </c>
      <c r="O21" s="1">
        <v>24.26</v>
      </c>
      <c r="P21" s="1">
        <v>66.3</v>
      </c>
      <c r="Q21" s="1">
        <v>984</v>
      </c>
      <c r="R21" s="1">
        <v>36.94</v>
      </c>
      <c r="S21" s="1">
        <v>6.98</v>
      </c>
      <c r="T21" s="1">
        <v>11.152130358615</v>
      </c>
      <c r="U21" s="2">
        <v>0.78099885700000005</v>
      </c>
      <c r="V21" s="3">
        <v>8.7318137107896196E-2</v>
      </c>
      <c r="W21" s="3">
        <v>0.97963061385552419</v>
      </c>
      <c r="X21" s="3">
        <v>-2.9988169606643269</v>
      </c>
      <c r="Y21" s="3">
        <v>-1.9155259257678789</v>
      </c>
      <c r="AA21"/>
      <c r="AB21"/>
      <c r="AC21"/>
    </row>
    <row r="22" spans="1:29">
      <c r="A22" s="1" t="s">
        <v>132</v>
      </c>
      <c r="B22" s="1" t="s">
        <v>40</v>
      </c>
      <c r="C22" s="1">
        <v>1.2</v>
      </c>
      <c r="D22" s="1">
        <v>7.5</v>
      </c>
      <c r="E22" s="1">
        <f t="shared" si="0"/>
        <v>1.913844489588276</v>
      </c>
      <c r="F22" s="1">
        <v>3.1</v>
      </c>
      <c r="G22" s="1">
        <v>10</v>
      </c>
      <c r="H22" s="1">
        <v>23.03</v>
      </c>
      <c r="I22" s="1">
        <v>1.2831126919166063</v>
      </c>
      <c r="J22" s="1">
        <v>0.2</v>
      </c>
      <c r="K22" s="1">
        <v>0</v>
      </c>
      <c r="L22" s="1">
        <v>82.3</v>
      </c>
      <c r="M22" s="1">
        <v>10.199999999999999</v>
      </c>
      <c r="N22" s="1">
        <v>7.8</v>
      </c>
      <c r="O22" s="1">
        <v>4.7060000000000004</v>
      </c>
      <c r="P22" s="1">
        <v>7</v>
      </c>
      <c r="Q22" s="1">
        <v>215</v>
      </c>
      <c r="R22" s="1">
        <v>3.6</v>
      </c>
      <c r="S22" s="1">
        <v>6.82</v>
      </c>
      <c r="T22" s="1">
        <v>8.8688424404727435</v>
      </c>
      <c r="U22" s="2">
        <v>0.89488837799999998</v>
      </c>
      <c r="V22" s="3">
        <v>7.7871635336979064E-2</v>
      </c>
      <c r="W22" s="3">
        <v>-2.2040425097143692</v>
      </c>
      <c r="X22" s="3">
        <v>-0.43092327731790642</v>
      </c>
      <c r="Y22" s="3">
        <v>1.0351291051531619</v>
      </c>
      <c r="AA22"/>
      <c r="AB22"/>
      <c r="AC22"/>
    </row>
    <row r="23" spans="1:29">
      <c r="A23" s="1" t="s">
        <v>133</v>
      </c>
      <c r="B23" s="1" t="s">
        <v>52</v>
      </c>
      <c r="C23" s="1">
        <v>13.44</v>
      </c>
      <c r="D23" s="1">
        <v>36.590000000000003</v>
      </c>
      <c r="E23" s="1">
        <f t="shared" si="0"/>
        <v>2.4725089918300096</v>
      </c>
      <c r="F23" s="1">
        <v>14.83</v>
      </c>
      <c r="G23" s="1">
        <v>85</v>
      </c>
      <c r="H23" s="1">
        <v>223.75</v>
      </c>
      <c r="I23" s="1">
        <v>1.2213637752701432</v>
      </c>
      <c r="J23" s="1">
        <v>2.8</v>
      </c>
      <c r="K23" s="1">
        <v>15.4</v>
      </c>
      <c r="L23" s="1">
        <v>73.900000000000006</v>
      </c>
      <c r="M23" s="1">
        <v>0.5</v>
      </c>
      <c r="N23" s="1">
        <v>7.7</v>
      </c>
      <c r="O23" s="1">
        <v>9.8079999999999998</v>
      </c>
      <c r="P23" s="1">
        <v>11.28</v>
      </c>
      <c r="Q23" s="1">
        <v>1350</v>
      </c>
      <c r="R23" s="1">
        <v>5.45</v>
      </c>
      <c r="S23" s="1">
        <v>7.28</v>
      </c>
      <c r="T23" s="1">
        <v>12.148448810809292</v>
      </c>
      <c r="U23" s="1">
        <v>0.90828231349999999</v>
      </c>
      <c r="V23" s="3">
        <v>0.10655937401893195</v>
      </c>
      <c r="W23" s="3">
        <v>0.64229782871214947</v>
      </c>
      <c r="X23" s="3">
        <v>1.1339232132267161</v>
      </c>
      <c r="Y23" s="3">
        <v>-1.0393224972826129</v>
      </c>
      <c r="AA23"/>
      <c r="AB23"/>
      <c r="AC23"/>
    </row>
    <row r="24" spans="1:29">
      <c r="A24" s="1" t="s">
        <v>134</v>
      </c>
      <c r="B24" s="1" t="s">
        <v>42</v>
      </c>
      <c r="C24" s="1">
        <v>20.75</v>
      </c>
      <c r="D24" s="1">
        <v>45.55</v>
      </c>
      <c r="E24" s="1">
        <f t="shared" si="0"/>
        <v>2.4239490876678396</v>
      </c>
      <c r="F24" s="1">
        <v>11.53</v>
      </c>
      <c r="G24" s="1">
        <v>58.3</v>
      </c>
      <c r="H24" s="1">
        <v>2668.2</v>
      </c>
      <c r="I24" s="1">
        <v>2.1092002787844666</v>
      </c>
      <c r="J24" s="1">
        <v>0.1</v>
      </c>
      <c r="K24" s="1">
        <v>0</v>
      </c>
      <c r="L24" s="1">
        <v>83.2</v>
      </c>
      <c r="M24" s="1">
        <v>13.2</v>
      </c>
      <c r="N24" s="1">
        <v>3.5</v>
      </c>
      <c r="O24" s="1">
        <v>4.1269999999999998</v>
      </c>
      <c r="P24" s="1">
        <v>3</v>
      </c>
      <c r="Q24" s="1">
        <v>160</v>
      </c>
      <c r="R24" s="1">
        <v>1</v>
      </c>
      <c r="S24" s="1">
        <v>7.16</v>
      </c>
      <c r="T24" s="1">
        <v>9.9940952567310628</v>
      </c>
      <c r="U24" s="2">
        <v>0.81828121799999998</v>
      </c>
      <c r="V24" s="3">
        <v>6.7678529405292773E-2</v>
      </c>
      <c r="W24" s="3">
        <v>-3.166584599615446</v>
      </c>
      <c r="X24" s="3">
        <v>2.1094897191506599</v>
      </c>
      <c r="Y24" s="3">
        <v>-2.7407062624627718</v>
      </c>
      <c r="AA24"/>
      <c r="AB24"/>
      <c r="AC24"/>
    </row>
    <row r="25" spans="1:29">
      <c r="A25" s="1" t="s">
        <v>135</v>
      </c>
      <c r="B25" s="1" t="s">
        <v>44</v>
      </c>
      <c r="C25" s="1">
        <v>4.97</v>
      </c>
      <c r="D25" s="1">
        <v>34.61</v>
      </c>
      <c r="E25" s="1">
        <f t="shared" si="0"/>
        <v>4.0420404328192596</v>
      </c>
      <c r="F25" s="1">
        <v>4</v>
      </c>
      <c r="G25" s="1">
        <v>10</v>
      </c>
      <c r="H25" s="1">
        <v>206.13</v>
      </c>
      <c r="I25" s="1">
        <v>1.6177848145272387</v>
      </c>
      <c r="J25" s="1">
        <v>2.1</v>
      </c>
      <c r="K25" s="1">
        <v>4.0999999999999996</v>
      </c>
      <c r="L25" s="1">
        <v>71.400000000000006</v>
      </c>
      <c r="M25" s="1">
        <v>0.4</v>
      </c>
      <c r="N25" s="1">
        <v>22.5</v>
      </c>
      <c r="O25" s="1">
        <v>13.3</v>
      </c>
      <c r="P25" s="1">
        <v>19</v>
      </c>
      <c r="Q25" s="1">
        <v>615</v>
      </c>
      <c r="R25" s="1">
        <v>29</v>
      </c>
      <c r="S25" s="1">
        <v>7.06</v>
      </c>
      <c r="T25" s="1">
        <v>11.18054552631579</v>
      </c>
      <c r="U25" s="2">
        <v>0.87123027500000005</v>
      </c>
      <c r="V25" s="3">
        <v>8.2208269303742101E-2</v>
      </c>
      <c r="W25" s="3">
        <v>-0.38923682022893302</v>
      </c>
      <c r="X25" s="3">
        <v>-0.78364630754905518</v>
      </c>
      <c r="Y25" s="3">
        <v>0.24659341298700529</v>
      </c>
      <c r="AA25"/>
      <c r="AB25"/>
      <c r="AC25"/>
    </row>
    <row r="26" spans="1:29">
      <c r="A26" s="1" t="s">
        <v>136</v>
      </c>
      <c r="B26" s="1" t="s">
        <v>46</v>
      </c>
      <c r="C26" s="1">
        <v>0.44</v>
      </c>
      <c r="D26" s="1">
        <v>3.89</v>
      </c>
      <c r="E26" s="1">
        <f t="shared" si="0"/>
        <v>1.7236365597096825</v>
      </c>
      <c r="F26" s="1">
        <v>4.7</v>
      </c>
      <c r="G26" s="1">
        <v>11.9</v>
      </c>
      <c r="H26" s="1">
        <v>5.9</v>
      </c>
      <c r="I26" s="1">
        <v>1.1273993351559568</v>
      </c>
      <c r="J26" s="1">
        <v>0.1</v>
      </c>
      <c r="K26" s="1">
        <v>0</v>
      </c>
      <c r="L26" s="1">
        <v>83.7</v>
      </c>
      <c r="M26" s="1">
        <v>6.4</v>
      </c>
      <c r="N26" s="1">
        <v>9.6999999999999993</v>
      </c>
      <c r="O26" s="1">
        <v>6.2160000000000002</v>
      </c>
      <c r="P26" s="1">
        <v>5.5</v>
      </c>
      <c r="Q26" s="1">
        <v>230</v>
      </c>
      <c r="R26" s="1">
        <v>1.8</v>
      </c>
      <c r="S26" s="1">
        <v>7.4</v>
      </c>
      <c r="T26" s="1">
        <v>7.5789299549549547</v>
      </c>
      <c r="U26" s="2">
        <v>0.98983147400000004</v>
      </c>
      <c r="V26" s="3">
        <v>6.6238236625909552E-2</v>
      </c>
      <c r="W26" s="3">
        <v>-1.81267184816661</v>
      </c>
      <c r="X26" s="3">
        <v>-0.18774137997126411</v>
      </c>
      <c r="Y26" s="3">
        <v>1.5445167800852251</v>
      </c>
      <c r="AA26"/>
      <c r="AB26"/>
      <c r="AC26"/>
    </row>
    <row r="27" spans="1:29">
      <c r="A27" s="1" t="s">
        <v>137</v>
      </c>
      <c r="B27" s="1" t="s">
        <v>48</v>
      </c>
      <c r="C27" s="1">
        <v>2.0699999999999998</v>
      </c>
      <c r="D27" s="1">
        <v>8.9600000000000009</v>
      </c>
      <c r="E27" s="1">
        <f t="shared" si="0"/>
        <v>1.6940233320797684</v>
      </c>
      <c r="F27" s="1">
        <v>4.91</v>
      </c>
      <c r="G27" s="1">
        <v>10.62</v>
      </c>
      <c r="H27" s="1">
        <v>223.39</v>
      </c>
      <c r="I27" s="1">
        <v>2.0330933826690329</v>
      </c>
      <c r="J27" s="1">
        <v>5.4</v>
      </c>
      <c r="K27" s="1">
        <v>15.5</v>
      </c>
      <c r="L27" s="1">
        <v>70.099999999999994</v>
      </c>
      <c r="M27" s="1">
        <v>0.4</v>
      </c>
      <c r="N27" s="1">
        <v>8.8000000000000007</v>
      </c>
      <c r="O27" s="1">
        <v>6.5469999999999997</v>
      </c>
      <c r="P27" s="1">
        <v>47.17</v>
      </c>
      <c r="Q27" s="1">
        <v>720</v>
      </c>
      <c r="R27" s="1">
        <v>25.67</v>
      </c>
      <c r="S27" s="1">
        <v>7.53</v>
      </c>
      <c r="T27" s="1">
        <v>11.755852925003818</v>
      </c>
      <c r="U27" s="2">
        <v>0.87721113900000003</v>
      </c>
      <c r="V27" s="3">
        <v>0.13009002642450923</v>
      </c>
      <c r="W27" s="3">
        <v>1.62525207548658</v>
      </c>
      <c r="X27" s="3">
        <v>-0.99490585049028013</v>
      </c>
      <c r="Y27" s="3">
        <v>-0.23616954263902579</v>
      </c>
      <c r="AA27"/>
      <c r="AB27"/>
      <c r="AC27"/>
    </row>
    <row r="28" spans="1:29">
      <c r="A28" s="1" t="s">
        <v>138</v>
      </c>
      <c r="B28" s="1" t="s">
        <v>50</v>
      </c>
      <c r="C28" s="1">
        <v>12.98</v>
      </c>
      <c r="D28" s="1">
        <v>28.78</v>
      </c>
      <c r="E28" s="1">
        <f t="shared" si="0"/>
        <v>1.9823702738971172</v>
      </c>
      <c r="F28" s="1">
        <v>21.08</v>
      </c>
      <c r="G28" s="1">
        <v>68</v>
      </c>
      <c r="H28" s="1">
        <v>457.69</v>
      </c>
      <c r="I28" s="1">
        <v>1.5472967312317651</v>
      </c>
      <c r="J28" s="1">
        <v>4.2</v>
      </c>
      <c r="K28" s="1">
        <v>30.5</v>
      </c>
      <c r="L28" s="1">
        <v>59.2</v>
      </c>
      <c r="M28" s="1">
        <v>0.4</v>
      </c>
      <c r="N28" s="1">
        <v>5.9</v>
      </c>
      <c r="O28" s="1">
        <v>7.577</v>
      </c>
      <c r="P28" s="1">
        <v>57.75</v>
      </c>
      <c r="Q28" s="1">
        <v>1350</v>
      </c>
      <c r="R28" s="1">
        <v>20.75</v>
      </c>
      <c r="S28" s="1">
        <v>7.98</v>
      </c>
      <c r="T28" s="1">
        <v>18.284792662003429</v>
      </c>
      <c r="U28" s="2">
        <v>1.1027715060000001</v>
      </c>
      <c r="V28" s="3">
        <v>0.19286170908457095</v>
      </c>
      <c r="W28" s="3">
        <v>4.0536556486157096</v>
      </c>
      <c r="X28" s="3">
        <v>1.2925366099912601</v>
      </c>
      <c r="Y28" s="3">
        <v>-1.8808873474800529</v>
      </c>
      <c r="AA28"/>
      <c r="AB28"/>
      <c r="AC28"/>
    </row>
    <row r="29" spans="1:29">
      <c r="A29" s="1" t="s">
        <v>139</v>
      </c>
      <c r="B29" s="1" t="s">
        <v>54</v>
      </c>
      <c r="C29" s="1">
        <v>4.05</v>
      </c>
      <c r="D29" s="1">
        <v>20.6</v>
      </c>
      <c r="E29" s="1">
        <f t="shared" si="0"/>
        <v>2.6925391428999772</v>
      </c>
      <c r="F29" s="1">
        <v>2.13</v>
      </c>
      <c r="G29" s="1">
        <v>7</v>
      </c>
      <c r="H29" s="1">
        <v>62.73</v>
      </c>
      <c r="I29" s="1">
        <v>1.1900202643226658</v>
      </c>
      <c r="J29" s="1">
        <v>1</v>
      </c>
      <c r="K29" s="1">
        <v>0.7</v>
      </c>
      <c r="L29" s="1">
        <v>87.1</v>
      </c>
      <c r="M29" s="1">
        <v>4.3</v>
      </c>
      <c r="N29" s="1">
        <v>7.5</v>
      </c>
      <c r="O29" s="1">
        <v>9.3520000000000003</v>
      </c>
      <c r="P29" s="1">
        <v>28.25</v>
      </c>
      <c r="Q29" s="1">
        <v>440</v>
      </c>
      <c r="R29" s="1">
        <v>18.5</v>
      </c>
      <c r="S29" s="1">
        <v>6.73</v>
      </c>
      <c r="T29" s="1">
        <v>12.878780434402413</v>
      </c>
      <c r="U29" s="2">
        <v>0.74260925899999997</v>
      </c>
      <c r="V29" s="3">
        <v>6.5101345147430364E-2</v>
      </c>
      <c r="W29" s="3">
        <v>-1.7498690287490879</v>
      </c>
      <c r="X29" s="3">
        <v>-1.699141875382161</v>
      </c>
      <c r="Y29" s="3">
        <v>5.6555902066328947E-2</v>
      </c>
      <c r="AA29"/>
      <c r="AB29"/>
      <c r="AC29"/>
    </row>
    <row r="30" spans="1:29">
      <c r="A30" s="1" t="s">
        <v>140</v>
      </c>
      <c r="B30" s="1" t="s">
        <v>56</v>
      </c>
      <c r="C30" s="1">
        <v>1.27</v>
      </c>
      <c r="D30" s="1">
        <v>5.79</v>
      </c>
      <c r="E30" s="1">
        <f t="shared" si="0"/>
        <v>1.4321271734086281</v>
      </c>
      <c r="F30" s="1">
        <v>6.9</v>
      </c>
      <c r="G30" s="1">
        <v>20</v>
      </c>
      <c r="H30" s="1">
        <v>89.94</v>
      </c>
      <c r="I30" s="1">
        <v>1.8501491622759663</v>
      </c>
      <c r="J30" s="1">
        <v>0</v>
      </c>
      <c r="K30" s="1">
        <v>0</v>
      </c>
      <c r="L30" s="1">
        <v>78.599999999999994</v>
      </c>
      <c r="M30" s="1">
        <v>18.2</v>
      </c>
      <c r="N30" s="1">
        <v>3.5</v>
      </c>
      <c r="O30" s="1">
        <v>4.6980000000000004</v>
      </c>
      <c r="P30" s="1">
        <v>6.5</v>
      </c>
      <c r="Q30" s="1">
        <v>165</v>
      </c>
      <c r="R30" s="1">
        <v>2.0499999999999998</v>
      </c>
      <c r="S30" s="1">
        <v>7.05</v>
      </c>
      <c r="T30" s="1">
        <v>9.5828072816017311</v>
      </c>
      <c r="U30" s="2">
        <v>0.81705323500000004</v>
      </c>
      <c r="V30" s="3">
        <v>7.399E-2</v>
      </c>
      <c r="W30" s="3">
        <v>-2.6185434192063859</v>
      </c>
      <c r="X30" s="3">
        <v>-4.4054428422637341E-2</v>
      </c>
      <c r="Y30" s="3">
        <v>-1.2081586884531909E-3</v>
      </c>
      <c r="AA30"/>
      <c r="AB30"/>
      <c r="AC30"/>
    </row>
    <row r="31" spans="1:29">
      <c r="A31" s="1" t="s">
        <v>141</v>
      </c>
      <c r="B31" s="1" t="s">
        <v>58</v>
      </c>
      <c r="C31" s="1">
        <v>1.28</v>
      </c>
      <c r="D31" s="1">
        <v>12.84</v>
      </c>
      <c r="E31" s="1">
        <f t="shared" si="0"/>
        <v>3.1622384020561398</v>
      </c>
      <c r="F31" s="1">
        <v>4.74</v>
      </c>
      <c r="G31" s="1">
        <v>24.06</v>
      </c>
      <c r="H31" s="1">
        <v>6.17</v>
      </c>
      <c r="I31" s="1">
        <v>0.68307519438537334</v>
      </c>
      <c r="J31" s="1">
        <v>0.5</v>
      </c>
      <c r="K31" s="1">
        <v>2</v>
      </c>
      <c r="L31" s="1">
        <v>77.3</v>
      </c>
      <c r="M31" s="1">
        <v>0.3</v>
      </c>
      <c r="N31" s="1">
        <v>21.3</v>
      </c>
      <c r="O31" s="1">
        <v>6.2919999999999998</v>
      </c>
      <c r="P31" s="1">
        <v>5</v>
      </c>
      <c r="Q31" s="1">
        <v>290</v>
      </c>
      <c r="R31" s="1">
        <v>2.7</v>
      </c>
      <c r="S31" s="1">
        <v>7.11</v>
      </c>
      <c r="T31" s="1">
        <v>8.1036210715577806</v>
      </c>
      <c r="U31" s="2">
        <v>1.0252999410000001</v>
      </c>
      <c r="V31" s="3">
        <v>8.3800640580461674E-2</v>
      </c>
      <c r="W31" s="3">
        <v>-1.262962285715755</v>
      </c>
      <c r="X31" s="3">
        <v>0.52124522912678173</v>
      </c>
      <c r="Y31" s="3">
        <v>2.2630199341675641</v>
      </c>
      <c r="AA31"/>
      <c r="AB31"/>
      <c r="AC31"/>
    </row>
    <row r="32" spans="1:29">
      <c r="A32" s="1" t="s">
        <v>142</v>
      </c>
      <c r="B32" s="1" t="s">
        <v>65</v>
      </c>
      <c r="C32" s="1">
        <v>5.1100000000000003</v>
      </c>
      <c r="D32" s="1">
        <v>12.07</v>
      </c>
      <c r="E32" s="1">
        <f t="shared" si="0"/>
        <v>1.3882601039515905</v>
      </c>
      <c r="F32" s="1">
        <v>2.41</v>
      </c>
      <c r="G32" s="1">
        <v>5.0199999999999996</v>
      </c>
      <c r="H32" s="1">
        <v>65.099999999999994</v>
      </c>
      <c r="I32" s="1">
        <v>1.1051600884334791</v>
      </c>
      <c r="J32" s="1">
        <v>3.7</v>
      </c>
      <c r="K32" s="1">
        <v>33.4</v>
      </c>
      <c r="L32" s="1">
        <v>55.6</v>
      </c>
      <c r="M32" s="1">
        <v>0.3</v>
      </c>
      <c r="N32" s="1">
        <v>7.6</v>
      </c>
      <c r="O32" s="1">
        <v>6.0570000000000004</v>
      </c>
      <c r="P32" s="1">
        <v>103.17</v>
      </c>
      <c r="Q32" s="1">
        <v>938.33</v>
      </c>
      <c r="R32" s="1">
        <v>28.83</v>
      </c>
      <c r="S32" s="1">
        <v>7.65</v>
      </c>
      <c r="T32" s="1">
        <v>15.311242842991579</v>
      </c>
      <c r="U32" s="2">
        <v>1.206978356</v>
      </c>
      <c r="V32" s="3">
        <v>0.15359360968772137</v>
      </c>
      <c r="W32" s="3">
        <v>4.3052252053774183</v>
      </c>
      <c r="X32" s="3">
        <v>-1.0709700462676901</v>
      </c>
      <c r="Y32" s="3">
        <v>2.871276567758213E-2</v>
      </c>
      <c r="AA32"/>
      <c r="AB32"/>
      <c r="AC32"/>
    </row>
    <row r="33" spans="1:29">
      <c r="A33" s="1" t="s">
        <v>109</v>
      </c>
      <c r="B33" s="1" t="s">
        <v>62</v>
      </c>
      <c r="C33" s="1">
        <v>5.04</v>
      </c>
      <c r="D33" s="1">
        <v>15.77</v>
      </c>
      <c r="E33" s="1">
        <f t="shared" si="0"/>
        <v>1.8276371036493624</v>
      </c>
      <c r="F33" s="1">
        <v>5.12</v>
      </c>
      <c r="G33" s="1">
        <v>14</v>
      </c>
      <c r="H33" s="1">
        <v>19.739999999999998</v>
      </c>
      <c r="I33" s="1">
        <v>0.59291661188809264</v>
      </c>
      <c r="J33" s="1">
        <v>2.2000000000000002</v>
      </c>
      <c r="K33" s="1">
        <v>0.2</v>
      </c>
      <c r="L33" s="1">
        <v>68</v>
      </c>
      <c r="M33" s="1">
        <v>4.7</v>
      </c>
      <c r="N33" s="1">
        <v>25.6</v>
      </c>
      <c r="O33" s="1">
        <v>4.0609999999999999</v>
      </c>
      <c r="P33" s="1">
        <v>16</v>
      </c>
      <c r="Q33" s="1">
        <v>345</v>
      </c>
      <c r="R33" s="1">
        <v>10.5</v>
      </c>
      <c r="S33" s="1">
        <v>7.06</v>
      </c>
      <c r="T33" s="1">
        <v>5.8677080403515101</v>
      </c>
      <c r="U33" s="2">
        <v>1.0860334970000001</v>
      </c>
      <c r="V33" s="3">
        <v>0.11162999999999999</v>
      </c>
      <c r="W33" s="3">
        <v>-0.26802381149155879</v>
      </c>
      <c r="X33" s="3">
        <v>0.96526689554909495</v>
      </c>
      <c r="Y33" s="3">
        <v>3.0042750063767638</v>
      </c>
      <c r="AA33"/>
      <c r="AB33"/>
      <c r="AC33"/>
    </row>
    <row r="34" spans="1:29">
      <c r="A34" s="1" t="s">
        <v>84</v>
      </c>
      <c r="B34" s="1" t="s">
        <v>59</v>
      </c>
      <c r="C34" s="1">
        <v>3.61</v>
      </c>
      <c r="D34" s="1">
        <v>12.6</v>
      </c>
      <c r="E34" s="1">
        <f t="shared" si="0"/>
        <v>1.7544324524222352</v>
      </c>
      <c r="F34" s="1">
        <v>23.04</v>
      </c>
      <c r="G34" s="1">
        <v>49.83</v>
      </c>
      <c r="H34" s="1">
        <v>56.58</v>
      </c>
      <c r="I34" s="1">
        <v>1.1951557412153142</v>
      </c>
      <c r="J34" s="1">
        <v>2</v>
      </c>
      <c r="K34" s="1">
        <v>0.9</v>
      </c>
      <c r="L34" s="1">
        <v>77.8</v>
      </c>
      <c r="M34" s="1">
        <v>1.9</v>
      </c>
      <c r="N34" s="1">
        <v>18.100000000000001</v>
      </c>
      <c r="O34" s="1">
        <v>6.2889999999999997</v>
      </c>
      <c r="P34" s="1">
        <v>4.67</v>
      </c>
      <c r="Q34" s="1">
        <v>333.33</v>
      </c>
      <c r="R34" s="1">
        <v>3.4</v>
      </c>
      <c r="S34" s="1">
        <v>7.2</v>
      </c>
      <c r="T34" s="1">
        <v>7.7730278740326746</v>
      </c>
      <c r="U34" s="2">
        <v>1.0220554070000001</v>
      </c>
      <c r="V34" s="3">
        <v>7.6523754274702968E-2</v>
      </c>
      <c r="W34" s="3">
        <v>-1.237945749806419</v>
      </c>
      <c r="X34" s="3">
        <v>1.672680346748298</v>
      </c>
      <c r="Y34" s="3">
        <v>1.5268392258719361</v>
      </c>
      <c r="AA34"/>
      <c r="AB34"/>
      <c r="AC34"/>
    </row>
    <row r="35" spans="1:29">
      <c r="A35" s="1" t="s">
        <v>83</v>
      </c>
      <c r="B35" s="1" t="s">
        <v>60</v>
      </c>
      <c r="C35" s="1">
        <v>1.32</v>
      </c>
      <c r="D35" s="1">
        <v>14.24</v>
      </c>
      <c r="E35" s="1">
        <f t="shared" si="0"/>
        <v>3.4481757647925519</v>
      </c>
      <c r="F35" s="1">
        <v>4.0999999999999996</v>
      </c>
      <c r="G35" s="1">
        <v>15</v>
      </c>
      <c r="H35" s="1">
        <v>6.95</v>
      </c>
      <c r="I35" s="1">
        <v>0.72141087338426402</v>
      </c>
      <c r="J35" s="1">
        <v>2.5</v>
      </c>
      <c r="K35" s="1">
        <v>0.3</v>
      </c>
      <c r="L35" s="1">
        <v>74.400000000000006</v>
      </c>
      <c r="M35" s="1">
        <v>0.3</v>
      </c>
      <c r="N35" s="1">
        <v>24.3</v>
      </c>
      <c r="O35" s="1">
        <v>5.9009999999999998</v>
      </c>
      <c r="P35" s="1">
        <v>3.9</v>
      </c>
      <c r="Q35" s="1">
        <v>305</v>
      </c>
      <c r="R35" s="1">
        <v>2.1</v>
      </c>
      <c r="S35" s="1">
        <v>7.04</v>
      </c>
      <c r="T35" s="1">
        <v>18.831015539739028</v>
      </c>
      <c r="U35" s="2">
        <v>0.83873374899999997</v>
      </c>
      <c r="V35" s="3">
        <v>8.0237180716974929E-2</v>
      </c>
      <c r="W35" s="3">
        <v>-1.4402047801391009</v>
      </c>
      <c r="X35" s="3">
        <v>-0.28079498140668618</v>
      </c>
      <c r="Y35" s="3">
        <v>1.544488205515417</v>
      </c>
      <c r="AA35"/>
      <c r="AB35"/>
      <c r="AC35"/>
    </row>
    <row r="36" spans="1:29">
      <c r="A36" s="1" t="s">
        <v>143</v>
      </c>
      <c r="B36" s="1" t="s">
        <v>67</v>
      </c>
      <c r="C36" s="1">
        <v>0.69</v>
      </c>
      <c r="D36" s="1">
        <v>4.82</v>
      </c>
      <c r="E36" s="1">
        <f t="shared" si="0"/>
        <v>1.6675355690467639</v>
      </c>
      <c r="F36" s="1">
        <v>2.4</v>
      </c>
      <c r="G36" s="1">
        <v>5.7</v>
      </c>
      <c r="H36" s="1">
        <v>5.55</v>
      </c>
      <c r="I36" s="1">
        <v>0.905443892385421</v>
      </c>
      <c r="J36" s="1">
        <v>12.3</v>
      </c>
      <c r="K36" s="1">
        <v>22.9</v>
      </c>
      <c r="L36" s="1">
        <v>52.2</v>
      </c>
      <c r="M36" s="1">
        <v>1.3</v>
      </c>
      <c r="N36" s="1">
        <v>12.8</v>
      </c>
      <c r="O36" s="1">
        <v>6.718</v>
      </c>
      <c r="P36" s="1">
        <v>47.29</v>
      </c>
      <c r="Q36" s="1">
        <v>977.14</v>
      </c>
      <c r="R36" s="1">
        <v>50.57</v>
      </c>
      <c r="S36" s="1">
        <v>8</v>
      </c>
      <c r="T36" s="1">
        <v>10.222536379874963</v>
      </c>
      <c r="U36" s="2">
        <v>0.96195886100000005</v>
      </c>
      <c r="V36" s="3">
        <v>0.13013938200032518</v>
      </c>
      <c r="W36" s="3">
        <v>4.2273942810590199</v>
      </c>
      <c r="X36" s="3">
        <v>-0.54311567492285728</v>
      </c>
      <c r="Y36" s="3">
        <v>1.131613481738982</v>
      </c>
      <c r="AA36"/>
      <c r="AB36"/>
      <c r="AC36"/>
    </row>
    <row r="37" spans="1:29">
      <c r="A37" s="1" t="s">
        <v>144</v>
      </c>
      <c r="B37" s="1" t="s">
        <v>69</v>
      </c>
      <c r="C37" s="1">
        <v>0.04</v>
      </c>
      <c r="D37" s="1">
        <v>0.98</v>
      </c>
      <c r="E37" s="1">
        <f t="shared" si="0"/>
        <v>1.623634042203931</v>
      </c>
      <c r="F37" s="1">
        <v>3.5</v>
      </c>
      <c r="G37" s="1">
        <v>6.5</v>
      </c>
      <c r="H37" s="1">
        <v>0.2</v>
      </c>
      <c r="I37" s="1">
        <v>0.69897000433601886</v>
      </c>
      <c r="J37" s="1">
        <v>0</v>
      </c>
      <c r="K37" s="1">
        <v>0</v>
      </c>
      <c r="L37" s="1">
        <v>80</v>
      </c>
      <c r="M37" s="1">
        <v>0</v>
      </c>
      <c r="N37" s="1">
        <v>20.3</v>
      </c>
      <c r="O37" s="1">
        <v>13.31</v>
      </c>
      <c r="P37" s="1">
        <v>22.25</v>
      </c>
      <c r="Q37" s="1">
        <v>496.25</v>
      </c>
      <c r="R37" s="1">
        <v>14.38</v>
      </c>
      <c r="S37" s="1">
        <v>5.48</v>
      </c>
      <c r="T37" s="1">
        <v>12.292128403456047</v>
      </c>
      <c r="U37" s="2">
        <v>0.84337843499999998</v>
      </c>
      <c r="V37" s="3">
        <v>4.3175640892261981E-2</v>
      </c>
      <c r="W37" s="3">
        <v>-2.201140544913744</v>
      </c>
      <c r="X37" s="3">
        <v>-2.3069292780413542</v>
      </c>
      <c r="Y37" s="3">
        <v>1.72388025072217</v>
      </c>
      <c r="AA37"/>
      <c r="AB37"/>
      <c r="AC37"/>
    </row>
    <row r="38" spans="1:29">
      <c r="A38" s="1" t="s">
        <v>145</v>
      </c>
      <c r="B38" s="1" t="s">
        <v>71</v>
      </c>
      <c r="C38" s="1">
        <v>4.26</v>
      </c>
      <c r="D38" s="1">
        <v>22.24</v>
      </c>
      <c r="E38" s="1">
        <f t="shared" si="0"/>
        <v>2.827187235672425</v>
      </c>
      <c r="F38" s="1">
        <v>2.7</v>
      </c>
      <c r="G38" s="1">
        <v>15</v>
      </c>
      <c r="H38" s="1">
        <v>1784.35</v>
      </c>
      <c r="I38" s="1">
        <v>2.6220704460943365</v>
      </c>
      <c r="J38" s="1">
        <v>0.2</v>
      </c>
      <c r="K38" s="1">
        <v>0</v>
      </c>
      <c r="L38" s="1">
        <v>72.5</v>
      </c>
      <c r="M38" s="1">
        <v>22.4</v>
      </c>
      <c r="N38" s="1">
        <v>4.9000000000000004</v>
      </c>
      <c r="O38" s="1">
        <v>3.7320000000000002</v>
      </c>
      <c r="P38" s="1">
        <v>6.7</v>
      </c>
      <c r="Q38" s="1">
        <v>210</v>
      </c>
      <c r="R38" s="1">
        <v>3</v>
      </c>
      <c r="S38" s="1">
        <v>7</v>
      </c>
      <c r="T38" s="1">
        <v>10.298330337942341</v>
      </c>
      <c r="U38" s="2">
        <v>0.78320805900000001</v>
      </c>
      <c r="V38" s="3">
        <v>7.0297436526797374E-2</v>
      </c>
      <c r="W38" s="3">
        <v>-3.1173279295233489</v>
      </c>
      <c r="X38" s="3">
        <v>0.50129650363492584</v>
      </c>
      <c r="Y38" s="3">
        <v>-2.1391798690777679</v>
      </c>
      <c r="AA38"/>
      <c r="AB38"/>
      <c r="AC38"/>
    </row>
    <row r="39" spans="1:29">
      <c r="A39" s="1" t="s">
        <v>146</v>
      </c>
      <c r="B39" s="1" t="s">
        <v>73</v>
      </c>
      <c r="C39" s="1">
        <v>107.51</v>
      </c>
      <c r="D39" s="1">
        <v>227.31</v>
      </c>
      <c r="E39" s="1">
        <f t="shared" si="0"/>
        <v>4.8945947037840831</v>
      </c>
      <c r="F39" s="1">
        <v>6.09</v>
      </c>
      <c r="G39" s="1">
        <v>40</v>
      </c>
      <c r="H39" s="1">
        <v>510.08</v>
      </c>
      <c r="I39" s="1">
        <v>0.676189433520616</v>
      </c>
      <c r="J39" s="1">
        <v>8.3000000000000007</v>
      </c>
      <c r="K39" s="1">
        <v>18.3</v>
      </c>
      <c r="L39" s="1">
        <v>51.2</v>
      </c>
      <c r="M39" s="1">
        <v>1.9</v>
      </c>
      <c r="N39" s="1">
        <v>20.5</v>
      </c>
      <c r="O39" s="1">
        <v>4.952</v>
      </c>
      <c r="P39" s="1">
        <v>31</v>
      </c>
      <c r="Q39" s="1">
        <v>442.5</v>
      </c>
      <c r="R39" s="1">
        <v>5</v>
      </c>
      <c r="S39" s="1">
        <v>7.63</v>
      </c>
      <c r="T39" s="1">
        <v>7.4368483441033923</v>
      </c>
      <c r="U39" s="2">
        <v>1.111826934</v>
      </c>
      <c r="V39" s="3">
        <v>0.12398669516888061</v>
      </c>
      <c r="W39" s="3">
        <v>1.8950969952612231</v>
      </c>
      <c r="X39" s="3">
        <v>6.098242381126858</v>
      </c>
      <c r="Y39" s="3">
        <v>-0.99248039535758314</v>
      </c>
      <c r="AA39"/>
      <c r="AB39"/>
      <c r="AC39"/>
    </row>
    <row r="40" spans="1:29">
      <c r="A40" s="1" t="s">
        <v>147</v>
      </c>
      <c r="B40" s="1" t="s">
        <v>76</v>
      </c>
      <c r="C40" s="1">
        <v>0.99</v>
      </c>
      <c r="D40" s="1">
        <v>7.71</v>
      </c>
      <c r="E40" s="1">
        <f t="shared" si="0"/>
        <v>2.1870065765712412</v>
      </c>
      <c r="F40" s="1">
        <v>3.3</v>
      </c>
      <c r="G40" s="1">
        <v>10.7</v>
      </c>
      <c r="H40" s="1">
        <v>10.16</v>
      </c>
      <c r="I40" s="1">
        <v>1.0112585133503504</v>
      </c>
      <c r="J40" s="1">
        <v>0.6</v>
      </c>
      <c r="K40" s="1">
        <v>0.1</v>
      </c>
      <c r="L40" s="1">
        <v>88.4</v>
      </c>
      <c r="M40" s="1">
        <v>0.2</v>
      </c>
      <c r="N40" s="1">
        <v>10.7</v>
      </c>
      <c r="O40" s="1">
        <v>11.14</v>
      </c>
      <c r="P40" s="1">
        <v>56.9</v>
      </c>
      <c r="Q40" s="1">
        <v>416.5</v>
      </c>
      <c r="R40" s="1">
        <v>10</v>
      </c>
      <c r="S40" s="1">
        <v>6.5</v>
      </c>
      <c r="T40" s="1">
        <v>10.354868918312386</v>
      </c>
      <c r="U40" s="2">
        <v>0.85466280400000005</v>
      </c>
      <c r="V40" s="3">
        <v>5.7390921986112418E-2</v>
      </c>
      <c r="W40" s="3">
        <v>-1.5769754553495201</v>
      </c>
      <c r="X40" s="3">
        <v>-1.9187484974646529</v>
      </c>
      <c r="Y40" s="3">
        <v>0.79447906291448589</v>
      </c>
      <c r="AA40"/>
      <c r="AB40"/>
      <c r="AC40"/>
    </row>
    <row r="41" spans="1:29">
      <c r="A41" s="1" t="s">
        <v>148</v>
      </c>
      <c r="B41" s="1" t="s">
        <v>75</v>
      </c>
      <c r="C41" s="1">
        <v>3.62</v>
      </c>
      <c r="D41" s="1">
        <v>28.77</v>
      </c>
      <c r="E41" s="1">
        <f t="shared" si="0"/>
        <v>3.9998639173076516</v>
      </c>
      <c r="F41" s="1">
        <v>3.89</v>
      </c>
      <c r="G41" s="1">
        <v>14.71</v>
      </c>
      <c r="H41" s="1">
        <v>1334.57</v>
      </c>
      <c r="I41" s="1">
        <v>2.5666327875202541</v>
      </c>
      <c r="J41" s="1">
        <v>1.9</v>
      </c>
      <c r="K41" s="1">
        <v>8.1999999999999993</v>
      </c>
      <c r="L41" s="1">
        <v>81.8</v>
      </c>
      <c r="M41" s="1">
        <v>3.9</v>
      </c>
      <c r="N41" s="1">
        <v>4.4000000000000004</v>
      </c>
      <c r="O41" s="1">
        <v>12.32</v>
      </c>
      <c r="P41" s="1">
        <v>46.5</v>
      </c>
      <c r="Q41" s="1">
        <v>595</v>
      </c>
      <c r="R41" s="1">
        <v>16.75</v>
      </c>
      <c r="S41" s="1">
        <v>6.66</v>
      </c>
      <c r="T41" s="1">
        <v>12.462529346590909</v>
      </c>
      <c r="U41" s="2">
        <v>0.97704616</v>
      </c>
      <c r="V41" s="3">
        <v>5.5918090942319608E-2</v>
      </c>
      <c r="W41" s="3">
        <v>-1.222855430733548</v>
      </c>
      <c r="X41" s="3">
        <v>-1.371447862234368</v>
      </c>
      <c r="Y41" s="3">
        <v>-2.5697671668732029</v>
      </c>
      <c r="AA41"/>
      <c r="AB41"/>
      <c r="AC41"/>
    </row>
    <row r="42" spans="1:29">
      <c r="A42" s="1" t="s">
        <v>149</v>
      </c>
      <c r="B42" s="1" t="s">
        <v>78</v>
      </c>
      <c r="C42" s="1">
        <v>7.17</v>
      </c>
      <c r="D42" s="1">
        <v>14.01</v>
      </c>
      <c r="E42" s="1">
        <f t="shared" si="0"/>
        <v>1.3375119399691666</v>
      </c>
      <c r="F42" s="1">
        <v>2.91</v>
      </c>
      <c r="G42" s="1">
        <v>8.92</v>
      </c>
      <c r="H42" s="1">
        <v>411.45</v>
      </c>
      <c r="I42" s="1">
        <v>1.7587979109924106</v>
      </c>
      <c r="J42" s="1">
        <v>4.0999999999999996</v>
      </c>
      <c r="K42" s="1">
        <v>31.1</v>
      </c>
      <c r="L42" s="1">
        <v>62</v>
      </c>
      <c r="M42" s="1">
        <v>0.3</v>
      </c>
      <c r="N42" s="1">
        <v>2.9</v>
      </c>
      <c r="O42" s="1">
        <v>8.4909999999999997</v>
      </c>
      <c r="P42" s="1">
        <v>120.38</v>
      </c>
      <c r="Q42" s="1">
        <v>1470</v>
      </c>
      <c r="R42" s="1">
        <v>22.61</v>
      </c>
      <c r="S42" s="1">
        <v>7.6</v>
      </c>
      <c r="T42" s="1">
        <v>16.521902638087386</v>
      </c>
      <c r="U42" s="2">
        <v>0.78359897000000001</v>
      </c>
      <c r="V42" s="3">
        <v>0.16281118273087553</v>
      </c>
      <c r="W42" s="3">
        <v>3.936730316503819</v>
      </c>
      <c r="X42" s="3">
        <v>-2.0900363692952308</v>
      </c>
      <c r="Y42" s="3">
        <v>-1.86451018458255</v>
      </c>
      <c r="AA42"/>
      <c r="AB42"/>
      <c r="AC42"/>
    </row>
    <row r="43" spans="1:29">
      <c r="A43" s="1" t="s">
        <v>150</v>
      </c>
      <c r="B43" s="1" t="s">
        <v>80</v>
      </c>
      <c r="C43" s="1">
        <v>1.75</v>
      </c>
      <c r="D43" s="1">
        <v>9.1</v>
      </c>
      <c r="E43" s="1">
        <f t="shared" si="0"/>
        <v>1.8869723373248297</v>
      </c>
      <c r="F43" s="1">
        <v>2.08</v>
      </c>
      <c r="G43" s="1">
        <v>4.2699999999999996</v>
      </c>
      <c r="H43" s="1">
        <v>129.13</v>
      </c>
      <c r="I43" s="1">
        <v>1.8679891023398805</v>
      </c>
      <c r="J43" s="1">
        <v>5.2</v>
      </c>
      <c r="K43" s="1">
        <v>25.1</v>
      </c>
      <c r="L43" s="1">
        <v>65.099999999999994</v>
      </c>
      <c r="M43" s="1">
        <v>0.6</v>
      </c>
      <c r="N43" s="1">
        <v>4.0999999999999996</v>
      </c>
      <c r="O43" s="1">
        <v>8.3849999999999998</v>
      </c>
      <c r="P43" s="1">
        <v>114.2</v>
      </c>
      <c r="Q43" s="1">
        <v>998</v>
      </c>
      <c r="R43" s="1">
        <v>30.8</v>
      </c>
      <c r="S43" s="1">
        <v>7.52</v>
      </c>
      <c r="T43" s="1">
        <v>7.9877322203926306</v>
      </c>
      <c r="U43" s="2">
        <v>0.98380201199999995</v>
      </c>
      <c r="V43" s="2">
        <v>0.14099999999999999</v>
      </c>
      <c r="W43" s="3">
        <v>3.4044325645892139</v>
      </c>
      <c r="X43" s="3">
        <v>-1.6039775301014261</v>
      </c>
      <c r="Y43" s="3">
        <v>-0.61953904079352151</v>
      </c>
      <c r="AA43"/>
      <c r="AB43"/>
      <c r="AC43"/>
    </row>
    <row r="71" spans="4:4">
      <c r="D71" s="5"/>
    </row>
    <row r="72" spans="4:4">
      <c r="D72" s="5"/>
    </row>
    <row r="73" spans="4:4">
      <c r="D73" s="5"/>
    </row>
    <row r="74" spans="4:4">
      <c r="D74" s="5"/>
    </row>
    <row r="75" spans="4:4">
      <c r="D75" s="5"/>
    </row>
    <row r="76" spans="4:4">
      <c r="D76" s="5"/>
    </row>
    <row r="77" spans="4:4">
      <c r="D77" s="5"/>
    </row>
    <row r="78" spans="4:4">
      <c r="D78" s="5"/>
    </row>
    <row r="79" spans="4:4">
      <c r="D79" s="5"/>
    </row>
    <row r="80" spans="4:4">
      <c r="D80" s="5"/>
    </row>
    <row r="81" spans="4:4">
      <c r="D81" s="4"/>
    </row>
  </sheetData>
  <autoFilter ref="A1:Y43" xr:uid="{00000000-0001-0000-0000-000000000000}"/>
  <sortState xmlns:xlrd2="http://schemas.microsoft.com/office/spreadsheetml/2017/richdata2" ref="A2:AC43">
    <sortCondition ref="A2:A43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A6C9-659C-46FE-90CF-0B12F13D0C0D}">
  <dimension ref="B1:I45"/>
  <sheetViews>
    <sheetView tabSelected="1" zoomScale="85" zoomScaleNormal="85" workbookViewId="0">
      <selection activeCell="H30" sqref="H30"/>
    </sheetView>
  </sheetViews>
  <sheetFormatPr defaultColWidth="8.6640625" defaultRowHeight="15.4"/>
  <cols>
    <col min="1" max="1" width="8.6640625" style="1"/>
    <col min="2" max="2" width="16.1328125" style="1" bestFit="1" customWidth="1"/>
    <col min="3" max="4" width="13.796875" style="1" bestFit="1" customWidth="1"/>
    <col min="5" max="5" width="10" style="1" bestFit="1" customWidth="1"/>
    <col min="6" max="8" width="8.6640625" style="1"/>
    <col min="9" max="9" width="15.1328125" style="1" customWidth="1"/>
    <col min="10" max="16384" width="8.6640625" style="1"/>
  </cols>
  <sheetData>
    <row r="1" spans="2:9" ht="21" customHeight="1">
      <c r="B1" s="6" t="s">
        <v>115</v>
      </c>
      <c r="C1" s="6" t="s">
        <v>114</v>
      </c>
      <c r="D1" s="6" t="s">
        <v>116</v>
      </c>
      <c r="G1" s="9" t="s">
        <v>117</v>
      </c>
      <c r="H1" s="9"/>
      <c r="I1" s="9"/>
    </row>
    <row r="2" spans="2:9">
      <c r="B2" s="1" t="s">
        <v>1</v>
      </c>
      <c r="C2" s="1">
        <v>6.9008728719999999</v>
      </c>
      <c r="D2" s="1">
        <v>7.1096695670000001</v>
      </c>
    </row>
    <row r="3" spans="2:9">
      <c r="B3" s="1" t="s">
        <v>81</v>
      </c>
      <c r="C3" s="1">
        <v>1.039147058</v>
      </c>
      <c r="D3" s="1">
        <v>1.1987276309999999</v>
      </c>
    </row>
    <row r="4" spans="2:9">
      <c r="B4" s="1" t="s">
        <v>3</v>
      </c>
      <c r="C4" s="1">
        <v>6.4487407680000004</v>
      </c>
      <c r="D4" s="1">
        <v>7.0627154804999996</v>
      </c>
    </row>
    <row r="5" spans="2:9">
      <c r="B5" s="1" t="s">
        <v>5</v>
      </c>
      <c r="C5" s="1">
        <v>7.449346287</v>
      </c>
      <c r="D5" s="1">
        <v>7.7612566879999996</v>
      </c>
    </row>
    <row r="6" spans="2:9">
      <c r="B6" s="1" t="s">
        <v>7</v>
      </c>
      <c r="C6" s="1">
        <v>6.8850828579999996</v>
      </c>
      <c r="D6" s="1">
        <v>7.1979580885000001</v>
      </c>
    </row>
    <row r="7" spans="2:9">
      <c r="B7" s="1" t="s">
        <v>13</v>
      </c>
      <c r="C7" s="1">
        <v>1.8979739360000001</v>
      </c>
      <c r="D7" s="1">
        <v>2.5865668980000001</v>
      </c>
    </row>
    <row r="8" spans="2:9">
      <c r="B8" s="1" t="s">
        <v>9</v>
      </c>
      <c r="C8" s="1">
        <v>10.05711417</v>
      </c>
      <c r="D8" s="1">
        <v>10.9907489</v>
      </c>
    </row>
    <row r="9" spans="2:9">
      <c r="B9" s="8" t="s">
        <v>11</v>
      </c>
      <c r="C9" s="8"/>
      <c r="D9" s="8">
        <v>3.5802021800000001</v>
      </c>
    </row>
    <row r="10" spans="2:9">
      <c r="B10" s="1" t="s">
        <v>85</v>
      </c>
      <c r="C10" s="1">
        <v>2.1113828350000001</v>
      </c>
      <c r="D10" s="1">
        <v>2.2623106074999999</v>
      </c>
    </row>
    <row r="11" spans="2:9">
      <c r="B11" s="1" t="s">
        <v>15</v>
      </c>
      <c r="C11" s="1">
        <v>5.0159737230000001</v>
      </c>
      <c r="D11" s="1">
        <v>4.7514211550000001</v>
      </c>
    </row>
    <row r="12" spans="2:9">
      <c r="B12" s="1" t="s">
        <v>17</v>
      </c>
      <c r="C12" s="1">
        <v>7.1086437809999996</v>
      </c>
      <c r="D12" s="1">
        <v>8.1799695704999991</v>
      </c>
    </row>
    <row r="13" spans="2:9">
      <c r="B13" s="1" t="s">
        <v>19</v>
      </c>
      <c r="C13" s="1">
        <v>6.9497206767857147</v>
      </c>
      <c r="D13" s="1">
        <v>8.4025861760588239</v>
      </c>
    </row>
    <row r="14" spans="2:9">
      <c r="B14" s="1" t="s">
        <v>21</v>
      </c>
      <c r="C14" s="1">
        <v>2.8785634679999998</v>
      </c>
      <c r="D14" s="1">
        <v>3.9857151800000001</v>
      </c>
    </row>
    <row r="15" spans="2:9">
      <c r="B15" s="1" t="s">
        <v>23</v>
      </c>
      <c r="C15" s="1">
        <v>6.5765376169999996</v>
      </c>
      <c r="D15" s="1">
        <v>9.0568415649999992</v>
      </c>
    </row>
    <row r="16" spans="2:9">
      <c r="B16" s="1" t="s">
        <v>25</v>
      </c>
      <c r="C16" s="1">
        <v>3.7548264539999998</v>
      </c>
      <c r="D16" s="1">
        <v>5.0533614149999986</v>
      </c>
    </row>
    <row r="17" spans="2:5">
      <c r="B17" s="1" t="s">
        <v>31</v>
      </c>
      <c r="C17" s="1">
        <v>8.5938060410000006</v>
      </c>
      <c r="D17" s="1">
        <v>10.283145129999999</v>
      </c>
    </row>
    <row r="18" spans="2:5">
      <c r="B18" s="1" t="s">
        <v>27</v>
      </c>
      <c r="C18" s="1">
        <v>6.5406484069999999</v>
      </c>
      <c r="D18" s="1">
        <v>5.6390140816666667</v>
      </c>
    </row>
    <row r="19" spans="2:5">
      <c r="B19" s="1" t="s">
        <v>29</v>
      </c>
      <c r="C19" s="1">
        <v>6.2531531310000004</v>
      </c>
      <c r="D19" s="1">
        <v>4.5890175014999999</v>
      </c>
    </row>
    <row r="20" spans="2:5">
      <c r="B20" s="1" t="s">
        <v>33</v>
      </c>
      <c r="C20" s="1">
        <v>3.9799852919999998</v>
      </c>
      <c r="D20" s="1">
        <v>5.1793588210000001</v>
      </c>
    </row>
    <row r="21" spans="2:5">
      <c r="B21" s="8" t="s">
        <v>35</v>
      </c>
      <c r="C21" s="8"/>
      <c r="D21" s="8">
        <v>4.2242755289999998</v>
      </c>
      <c r="E21" s="8">
        <v>3.585664</v>
      </c>
    </row>
    <row r="22" spans="2:5">
      <c r="B22" s="8" t="s">
        <v>37</v>
      </c>
      <c r="C22" s="8"/>
      <c r="D22" s="8">
        <v>8.1189667225000015</v>
      </c>
    </row>
    <row r="23" spans="2:5">
      <c r="B23" s="8" t="s">
        <v>39</v>
      </c>
      <c r="C23" s="8"/>
      <c r="D23" s="8">
        <v>4.3980389009999996</v>
      </c>
      <c r="E23" s="8">
        <v>3.737724</v>
      </c>
    </row>
    <row r="24" spans="2:5">
      <c r="B24" s="1" t="s">
        <v>51</v>
      </c>
      <c r="C24" s="1">
        <v>6.0745643349999998</v>
      </c>
      <c r="D24" s="1">
        <v>8.0807698943750008</v>
      </c>
    </row>
    <row r="25" spans="2:5">
      <c r="B25" s="1" t="s">
        <v>41</v>
      </c>
      <c r="C25" s="1">
        <v>2.4690313769999999</v>
      </c>
      <c r="D25" s="1">
        <v>3.8998113640000001</v>
      </c>
    </row>
    <row r="26" spans="2:5">
      <c r="B26" s="8" t="s">
        <v>43</v>
      </c>
      <c r="C26" s="8"/>
      <c r="D26" s="8">
        <v>8.4364543565000005</v>
      </c>
    </row>
    <row r="27" spans="2:5">
      <c r="B27" s="1" t="s">
        <v>45</v>
      </c>
      <c r="C27" s="1">
        <v>3.1145709990000001</v>
      </c>
      <c r="D27" s="1">
        <v>3.3483513330000001</v>
      </c>
    </row>
    <row r="28" spans="2:5">
      <c r="B28" s="1" t="s">
        <v>47</v>
      </c>
      <c r="C28" s="1">
        <v>6.0596268455000004</v>
      </c>
      <c r="D28" s="1">
        <v>7.4633789760000004</v>
      </c>
    </row>
    <row r="29" spans="2:5">
      <c r="B29" s="1" t="s">
        <v>49</v>
      </c>
      <c r="C29" s="1">
        <v>8.5110236889999999</v>
      </c>
      <c r="D29" s="1">
        <v>9.4602270280000003</v>
      </c>
    </row>
    <row r="30" spans="2:5">
      <c r="B30" s="1" t="s">
        <v>53</v>
      </c>
      <c r="C30" s="1">
        <v>2.9789736320000002</v>
      </c>
      <c r="D30" s="1">
        <v>3.3092728220000001</v>
      </c>
    </row>
    <row r="31" spans="2:5">
      <c r="B31" s="1" t="s">
        <v>55</v>
      </c>
      <c r="C31" s="1">
        <v>2.693188433</v>
      </c>
      <c r="D31" s="1">
        <v>4.2011099825000002</v>
      </c>
    </row>
    <row r="32" spans="2:5">
      <c r="B32" s="1" t="s">
        <v>57</v>
      </c>
      <c r="C32" s="1">
        <v>2.0874677149999998</v>
      </c>
      <c r="D32" s="1">
        <v>3.3159872175</v>
      </c>
    </row>
    <row r="33" spans="2:5">
      <c r="B33" s="1" t="s">
        <v>63</v>
      </c>
      <c r="C33" s="1">
        <v>9.8816396803750006</v>
      </c>
      <c r="D33" s="1">
        <v>10.614300258388891</v>
      </c>
    </row>
    <row r="34" spans="2:5">
      <c r="B34" s="1" t="s">
        <v>64</v>
      </c>
      <c r="C34" s="1">
        <v>9.7324731379999996</v>
      </c>
      <c r="D34" s="1">
        <v>11.208115375</v>
      </c>
    </row>
    <row r="35" spans="2:5">
      <c r="B35" s="1" t="s">
        <v>61</v>
      </c>
      <c r="C35" s="1">
        <v>5.105279243</v>
      </c>
      <c r="D35" s="1">
        <v>5.7653503480000001</v>
      </c>
    </row>
    <row r="36" spans="2:5">
      <c r="B36" s="1" t="s">
        <v>112</v>
      </c>
      <c r="C36" s="1">
        <v>1.841388107</v>
      </c>
      <c r="D36" s="1">
        <v>2.500522439</v>
      </c>
    </row>
    <row r="37" spans="2:5">
      <c r="B37" s="1" t="s">
        <v>113</v>
      </c>
      <c r="C37" s="1">
        <v>0.768548122</v>
      </c>
      <c r="D37" s="1">
        <v>1.7363456525000001</v>
      </c>
    </row>
    <row r="38" spans="2:5">
      <c r="B38" s="1" t="s">
        <v>66</v>
      </c>
      <c r="C38" s="1">
        <v>6.7940870950000001</v>
      </c>
      <c r="D38" s="1">
        <v>8.5553468710000011</v>
      </c>
    </row>
    <row r="39" spans="2:5">
      <c r="B39" s="8" t="s">
        <v>68</v>
      </c>
      <c r="C39" s="8"/>
      <c r="D39" s="8">
        <v>4.0695586365</v>
      </c>
    </row>
    <row r="40" spans="2:5">
      <c r="B40" s="8" t="s">
        <v>70</v>
      </c>
      <c r="C40" s="8"/>
      <c r="D40" s="8">
        <v>4.0354339750000001</v>
      </c>
      <c r="E40" s="8">
        <v>3.4204080000000001</v>
      </c>
    </row>
    <row r="41" spans="2:5">
      <c r="B41" s="1" t="s">
        <v>72</v>
      </c>
      <c r="C41" s="1">
        <v>7.0911953104999998</v>
      </c>
    </row>
    <row r="42" spans="2:5">
      <c r="B42" s="1" t="s">
        <v>111</v>
      </c>
      <c r="C42" s="1">
        <v>3.247009609</v>
      </c>
      <c r="D42" s="1">
        <v>4.0277567240000014</v>
      </c>
    </row>
    <row r="43" spans="2:5">
      <c r="B43" s="1" t="s">
        <v>74</v>
      </c>
      <c r="C43" s="1">
        <v>6.5761818950000004</v>
      </c>
      <c r="D43" s="1">
        <v>8.0391788340000012</v>
      </c>
    </row>
    <row r="44" spans="2:5">
      <c r="B44" s="1" t="s">
        <v>77</v>
      </c>
      <c r="C44" s="1">
        <v>7.4642937749999998</v>
      </c>
      <c r="D44" s="1">
        <v>9.7632761605000002</v>
      </c>
    </row>
    <row r="45" spans="2:5">
      <c r="B45" s="1" t="s">
        <v>79</v>
      </c>
      <c r="C45" s="1">
        <v>9.2961805119999994</v>
      </c>
      <c r="D45" s="1">
        <v>10.97491054</v>
      </c>
    </row>
  </sheetData>
  <mergeCells count="1">
    <mergeCell ref="G1:I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PCA_Variables</vt:lpstr>
      <vt:lpstr>Cladocera~Bulk_ZPL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Kang</dc:creator>
  <cp:lastModifiedBy>Wang, Kang</cp:lastModifiedBy>
  <dcterms:created xsi:type="dcterms:W3CDTF">2015-06-05T18:17:20Z</dcterms:created>
  <dcterms:modified xsi:type="dcterms:W3CDTF">2026-06-11T08:40:43Z</dcterms:modified>
</cp:coreProperties>
</file>